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infinityenviro.sharepoint.com/sites/Projects/Shared Documents/190-56 Coastal WQ/02_Working Directory/01 Input Data/From CCT/"/>
    </mc:Choice>
  </mc:AlternateContent>
  <xr:revisionPtr revIDLastSave="1" documentId="11_00A6C7703D9CF16064925739D2BF1B99F1F7B623" xr6:coauthVersionLast="47" xr6:coauthVersionMax="47" xr10:uidLastSave="{1CF709E6-BD37-4F7B-8713-7081643EB65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6" i="1" l="1"/>
  <c r="E215" i="1"/>
  <c r="E210" i="1"/>
  <c r="E206" i="1"/>
  <c r="E204" i="1"/>
  <c r="E202" i="1"/>
  <c r="E200" i="1"/>
  <c r="E199" i="1"/>
  <c r="E198" i="1"/>
  <c r="E185" i="1"/>
  <c r="E177" i="1"/>
  <c r="E171" i="1"/>
  <c r="E156" i="1"/>
  <c r="B208" i="1"/>
  <c r="B188" i="1"/>
  <c r="B185" i="1"/>
  <c r="B183" i="1"/>
  <c r="B182" i="1"/>
  <c r="B179" i="1"/>
  <c r="B177" i="1"/>
  <c r="B176" i="1"/>
  <c r="B173" i="1"/>
  <c r="B172" i="1"/>
  <c r="B171" i="1"/>
</calcChain>
</file>

<file path=xl/sharedStrings.xml><?xml version="1.0" encoding="utf-8"?>
<sst xmlns="http://schemas.openxmlformats.org/spreadsheetml/2006/main" count="4" uniqueCount="4">
  <si>
    <t>Hout Bay</t>
  </si>
  <si>
    <t>E.coli</t>
  </si>
  <si>
    <t>Enterococci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</si>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</sst>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800]dddd\,/mmmm/dd\,/yyyy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2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16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2" fillId="2" borderId="0" xfId="1" applyFont="1" applyBorder="1" applyAlignment="1" applyProtection="1">
      <alignment horizontal="center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topLeftCell="A205" workbookViewId="0">
      <selection activeCell="E216" sqref="E216"/>
    </sheetView>
  </sheetViews>
  <sheetFormatPr defaultRowHeight="14.5" x14ac:dyDescent="0.35"/>
  <cols>
    <col min="1" max="1" width="27.453125" bestFit="1" customWidth="1"/>
    <col min="4" max="4" width="27.453125" bestFit="1" customWidth="1"/>
  </cols>
  <sheetData>
    <row r="1" spans="1:7" ht="14.4" customHeight="1" x14ac:dyDescent="0.35">
      <c r="A1" s="6" t="s">
        <v>0</v>
      </c>
      <c r="B1" s="6"/>
      <c r="C1" s="6"/>
      <c r="D1" s="6"/>
      <c r="E1" s="6"/>
    </row>
    <row r="2" spans="1:7" ht="14.4" customHeight="1" x14ac:dyDescent="0.35">
      <c r="A2" s="6"/>
      <c r="B2" s="6"/>
      <c r="C2" s="6"/>
      <c r="D2" s="6"/>
      <c r="E2" s="6"/>
    </row>
    <row r="3" spans="1:7" x14ac:dyDescent="0.35">
      <c r="A3" s="5" t="s">
        <v>1</v>
      </c>
      <c r="B3" s="5"/>
      <c r="D3" s="5" t="s">
        <v>2</v>
      </c>
      <c r="E3" s="5"/>
    </row>
    <row r="4" spans="1:7" x14ac:dyDescent="0.35">
      <c r="A4" s="1">
        <v>41647</v>
      </c>
      <c r="B4" s="2">
        <v>50</v>
      </c>
      <c r="D4" s="1">
        <v>41647</v>
      </c>
      <c r="E4" s="2">
        <v>16.666666670000001</v>
      </c>
    </row>
    <row r="5" spans="1:7" x14ac:dyDescent="0.35">
      <c r="A5" s="1">
        <v>41661</v>
      </c>
      <c r="B5" s="2">
        <v>100</v>
      </c>
      <c r="D5" s="1">
        <v>41661</v>
      </c>
      <c r="E5" s="2">
        <v>100</v>
      </c>
      <c r="G5" t="s">
        <v>3</v>
      </c>
    </row>
    <row r="6" spans="1:7" x14ac:dyDescent="0.35">
      <c r="A6" s="1">
        <v>41675</v>
      </c>
      <c r="B6" s="2">
        <v>16.666666670000001</v>
      </c>
      <c r="D6" s="1">
        <v>41675</v>
      </c>
      <c r="E6" s="2">
        <v>7</v>
      </c>
    </row>
    <row r="7" spans="1:7" x14ac:dyDescent="0.35">
      <c r="A7" s="1">
        <v>41689</v>
      </c>
      <c r="B7" s="2">
        <v>12</v>
      </c>
      <c r="D7" s="1">
        <v>41689</v>
      </c>
      <c r="E7" s="2">
        <v>6</v>
      </c>
    </row>
    <row r="8" spans="1:7" x14ac:dyDescent="0.35">
      <c r="A8" s="1">
        <v>41703</v>
      </c>
      <c r="B8" s="2">
        <v>2</v>
      </c>
      <c r="D8" s="1">
        <v>41703</v>
      </c>
      <c r="E8" s="2">
        <v>7</v>
      </c>
    </row>
    <row r="9" spans="1:7" x14ac:dyDescent="0.35">
      <c r="A9" s="1">
        <v>41717</v>
      </c>
      <c r="B9" s="2">
        <v>100</v>
      </c>
      <c r="D9" s="1">
        <v>41717</v>
      </c>
      <c r="E9" s="2">
        <v>50</v>
      </c>
    </row>
    <row r="10" spans="1:7" x14ac:dyDescent="0.35">
      <c r="A10" s="1">
        <v>41731</v>
      </c>
      <c r="B10" s="2">
        <v>15000</v>
      </c>
      <c r="D10" s="1">
        <v>41731</v>
      </c>
      <c r="E10" s="2">
        <v>15000</v>
      </c>
    </row>
    <row r="11" spans="1:7" x14ac:dyDescent="0.35">
      <c r="A11" s="1">
        <v>41745</v>
      </c>
      <c r="B11" s="2">
        <v>2</v>
      </c>
      <c r="D11" s="1">
        <v>41745</v>
      </c>
      <c r="E11" s="2">
        <v>12</v>
      </c>
    </row>
    <row r="12" spans="1:7" x14ac:dyDescent="0.35">
      <c r="A12" s="1">
        <v>41759</v>
      </c>
      <c r="B12" s="2">
        <v>10</v>
      </c>
      <c r="D12" s="1">
        <v>41759</v>
      </c>
      <c r="E12" s="2">
        <v>28</v>
      </c>
    </row>
    <row r="13" spans="1:7" x14ac:dyDescent="0.35">
      <c r="A13" s="1">
        <v>41773</v>
      </c>
      <c r="B13" s="2">
        <v>36</v>
      </c>
      <c r="D13" s="1">
        <v>41773</v>
      </c>
      <c r="E13" s="2">
        <v>37</v>
      </c>
    </row>
    <row r="14" spans="1:7" x14ac:dyDescent="0.35">
      <c r="A14" s="1">
        <v>41787</v>
      </c>
      <c r="B14" s="2">
        <v>150</v>
      </c>
      <c r="D14" s="1">
        <v>41787</v>
      </c>
      <c r="E14" s="2">
        <v>150</v>
      </c>
    </row>
    <row r="15" spans="1:7" x14ac:dyDescent="0.35">
      <c r="A15" s="1">
        <v>41801</v>
      </c>
      <c r="B15" s="2">
        <v>6</v>
      </c>
      <c r="D15" s="1">
        <v>41801</v>
      </c>
      <c r="E15" s="2">
        <v>19</v>
      </c>
    </row>
    <row r="16" spans="1:7" x14ac:dyDescent="0.35">
      <c r="A16" s="1">
        <v>41815</v>
      </c>
      <c r="B16" s="2">
        <v>150</v>
      </c>
      <c r="D16" s="1">
        <v>41815</v>
      </c>
      <c r="E16" s="2">
        <v>300</v>
      </c>
    </row>
    <row r="17" spans="1:5" x14ac:dyDescent="0.35">
      <c r="A17" s="1">
        <v>41829</v>
      </c>
      <c r="B17" s="2">
        <v>50</v>
      </c>
      <c r="D17" s="1">
        <v>41829</v>
      </c>
      <c r="E17" s="2">
        <v>41</v>
      </c>
    </row>
    <row r="18" spans="1:5" x14ac:dyDescent="0.35">
      <c r="A18" s="1">
        <v>41843</v>
      </c>
      <c r="B18" s="2">
        <v>14</v>
      </c>
      <c r="D18" s="1">
        <v>41843</v>
      </c>
      <c r="E18" s="2">
        <v>39</v>
      </c>
    </row>
    <row r="19" spans="1:5" x14ac:dyDescent="0.35">
      <c r="A19" s="1">
        <v>41857</v>
      </c>
      <c r="B19" s="2">
        <v>50</v>
      </c>
      <c r="D19" s="1">
        <v>41857</v>
      </c>
      <c r="E19" s="2">
        <v>150</v>
      </c>
    </row>
    <row r="20" spans="1:5" x14ac:dyDescent="0.35">
      <c r="A20" s="1">
        <v>41871</v>
      </c>
      <c r="B20" s="2">
        <v>200</v>
      </c>
      <c r="D20" s="1">
        <v>41871</v>
      </c>
      <c r="E20" s="2">
        <v>100</v>
      </c>
    </row>
    <row r="21" spans="1:5" x14ac:dyDescent="0.35">
      <c r="A21" s="1">
        <v>41885</v>
      </c>
      <c r="B21" s="2">
        <v>250</v>
      </c>
      <c r="D21" s="1">
        <v>41885</v>
      </c>
      <c r="E21" s="2">
        <v>1800</v>
      </c>
    </row>
    <row r="22" spans="1:5" x14ac:dyDescent="0.35">
      <c r="A22" s="1">
        <v>41899</v>
      </c>
      <c r="B22" s="2">
        <v>18</v>
      </c>
      <c r="D22" s="1">
        <v>41899</v>
      </c>
      <c r="E22" s="2">
        <v>17</v>
      </c>
    </row>
    <row r="23" spans="1:5" x14ac:dyDescent="0.35">
      <c r="A23" s="1">
        <v>41913</v>
      </c>
      <c r="B23" s="2">
        <v>2</v>
      </c>
      <c r="D23" s="1">
        <v>41913</v>
      </c>
      <c r="E23" s="2">
        <v>0.33333333300000001</v>
      </c>
    </row>
    <row r="24" spans="1:5" x14ac:dyDescent="0.35">
      <c r="A24" s="1">
        <v>41927</v>
      </c>
      <c r="B24" s="2">
        <v>30</v>
      </c>
      <c r="D24" s="1">
        <v>41927</v>
      </c>
      <c r="E24" s="2">
        <v>12</v>
      </c>
    </row>
    <row r="25" spans="1:5" x14ac:dyDescent="0.35">
      <c r="A25" s="1">
        <v>41941</v>
      </c>
      <c r="B25" s="2">
        <v>16</v>
      </c>
      <c r="D25" s="1">
        <v>41941</v>
      </c>
      <c r="E25" s="2">
        <v>18</v>
      </c>
    </row>
    <row r="26" spans="1:5" x14ac:dyDescent="0.35">
      <c r="A26" s="1">
        <v>41947.715277777781</v>
      </c>
      <c r="B26" s="2">
        <v>22</v>
      </c>
      <c r="D26" s="1">
        <v>41947.715277777781</v>
      </c>
      <c r="E26" s="2">
        <v>12</v>
      </c>
    </row>
    <row r="27" spans="1:5" x14ac:dyDescent="0.35">
      <c r="A27" s="1">
        <v>41955</v>
      </c>
      <c r="B27" s="2">
        <v>0.66666666699999999</v>
      </c>
      <c r="D27" s="1">
        <v>41955</v>
      </c>
      <c r="E27" s="2">
        <v>4</v>
      </c>
    </row>
    <row r="28" spans="1:5" x14ac:dyDescent="0.35">
      <c r="A28" s="1">
        <v>41969</v>
      </c>
      <c r="B28" s="2">
        <v>0.66666666699999999</v>
      </c>
      <c r="D28" s="1">
        <v>41969</v>
      </c>
      <c r="E28" s="2">
        <v>39</v>
      </c>
    </row>
    <row r="29" spans="1:5" x14ac:dyDescent="0.35">
      <c r="A29" s="1">
        <v>41983</v>
      </c>
      <c r="B29" s="2">
        <v>0.66666666699999999</v>
      </c>
      <c r="D29" s="1">
        <v>41983</v>
      </c>
      <c r="E29" s="2">
        <v>9</v>
      </c>
    </row>
    <row r="30" spans="1:5" x14ac:dyDescent="0.35">
      <c r="A30" s="1">
        <v>41991</v>
      </c>
      <c r="B30" s="2">
        <v>0.66666666699999999</v>
      </c>
      <c r="D30" s="1">
        <v>41991</v>
      </c>
      <c r="E30" s="2">
        <v>1</v>
      </c>
    </row>
    <row r="31" spans="1:5" x14ac:dyDescent="0.35">
      <c r="A31" s="1">
        <v>42011</v>
      </c>
      <c r="B31" s="2">
        <v>0.66666666699999999</v>
      </c>
      <c r="D31" s="1">
        <v>42011</v>
      </c>
      <c r="E31" s="2">
        <v>15</v>
      </c>
    </row>
    <row r="32" spans="1:5" x14ac:dyDescent="0.35">
      <c r="A32" s="1">
        <v>42025</v>
      </c>
      <c r="B32" s="2">
        <v>2</v>
      </c>
      <c r="D32" s="1">
        <v>42025</v>
      </c>
      <c r="E32" s="2">
        <v>1</v>
      </c>
    </row>
    <row r="33" spans="1:5" x14ac:dyDescent="0.35">
      <c r="A33" s="1">
        <v>42039</v>
      </c>
      <c r="B33" s="2">
        <v>28</v>
      </c>
      <c r="D33" s="1">
        <v>42039</v>
      </c>
      <c r="E33" s="2">
        <v>5</v>
      </c>
    </row>
    <row r="34" spans="1:5" x14ac:dyDescent="0.35">
      <c r="A34" s="1">
        <v>42053</v>
      </c>
      <c r="B34" s="2">
        <v>2</v>
      </c>
      <c r="D34" s="1">
        <v>42053</v>
      </c>
      <c r="E34" s="2">
        <v>8</v>
      </c>
    </row>
    <row r="35" spans="1:5" x14ac:dyDescent="0.35">
      <c r="A35" s="1">
        <v>42068</v>
      </c>
      <c r="B35" s="2">
        <v>2</v>
      </c>
      <c r="D35" s="1">
        <v>42068</v>
      </c>
      <c r="E35" s="2">
        <v>2</v>
      </c>
    </row>
    <row r="36" spans="1:5" x14ac:dyDescent="0.35">
      <c r="A36" s="1">
        <v>42081</v>
      </c>
      <c r="B36" s="2">
        <v>10</v>
      </c>
      <c r="D36" s="1">
        <v>42081</v>
      </c>
      <c r="E36" s="2">
        <v>12</v>
      </c>
    </row>
    <row r="37" spans="1:5" x14ac:dyDescent="0.35">
      <c r="A37" s="1">
        <v>42094</v>
      </c>
      <c r="B37" s="2">
        <v>0.66666666699999999</v>
      </c>
      <c r="D37" s="1">
        <v>42094</v>
      </c>
      <c r="E37" s="2">
        <v>1</v>
      </c>
    </row>
    <row r="38" spans="1:5" x14ac:dyDescent="0.35">
      <c r="A38" s="1">
        <v>42109</v>
      </c>
      <c r="B38" s="2">
        <v>28</v>
      </c>
      <c r="D38" s="1">
        <v>42109</v>
      </c>
      <c r="E38" s="2">
        <v>16</v>
      </c>
    </row>
    <row r="39" spans="1:5" x14ac:dyDescent="0.35">
      <c r="A39" s="1">
        <v>42123</v>
      </c>
      <c r="B39" s="2">
        <v>62</v>
      </c>
      <c r="D39" s="1">
        <v>42123</v>
      </c>
      <c r="E39" s="2">
        <v>33</v>
      </c>
    </row>
    <row r="40" spans="1:5" x14ac:dyDescent="0.35">
      <c r="A40" s="1">
        <v>42137</v>
      </c>
      <c r="B40" s="2">
        <v>114</v>
      </c>
      <c r="D40" s="1">
        <v>42137</v>
      </c>
      <c r="E40" s="2">
        <v>45</v>
      </c>
    </row>
    <row r="41" spans="1:5" x14ac:dyDescent="0.35">
      <c r="A41" s="1">
        <v>42151</v>
      </c>
      <c r="B41" s="2">
        <v>30</v>
      </c>
      <c r="D41" s="1">
        <v>42151</v>
      </c>
      <c r="E41" s="2">
        <v>100</v>
      </c>
    </row>
    <row r="42" spans="1:5" x14ac:dyDescent="0.35">
      <c r="A42" s="1">
        <v>42165</v>
      </c>
      <c r="B42" s="2">
        <v>4</v>
      </c>
      <c r="D42" s="1">
        <v>42165</v>
      </c>
      <c r="E42" s="2">
        <v>3</v>
      </c>
    </row>
    <row r="43" spans="1:5" x14ac:dyDescent="0.35">
      <c r="A43" s="1">
        <v>42179</v>
      </c>
      <c r="B43" s="2">
        <v>850</v>
      </c>
      <c r="D43" s="1">
        <v>42179</v>
      </c>
      <c r="E43" s="2">
        <v>1100</v>
      </c>
    </row>
    <row r="44" spans="1:5" x14ac:dyDescent="0.35">
      <c r="A44" s="1">
        <v>42193</v>
      </c>
      <c r="B44" s="2">
        <v>8</v>
      </c>
      <c r="D44" s="1">
        <v>42193</v>
      </c>
      <c r="E44" s="2">
        <v>17</v>
      </c>
    </row>
    <row r="45" spans="1:5" x14ac:dyDescent="0.35">
      <c r="A45" s="1">
        <v>42207</v>
      </c>
      <c r="B45" s="2">
        <v>20</v>
      </c>
      <c r="D45" s="1">
        <v>42207</v>
      </c>
      <c r="E45" s="2">
        <v>4</v>
      </c>
    </row>
    <row r="46" spans="1:5" x14ac:dyDescent="0.35">
      <c r="A46" s="1">
        <v>42221</v>
      </c>
      <c r="B46" s="2">
        <v>550</v>
      </c>
      <c r="D46" s="1">
        <v>42221</v>
      </c>
      <c r="E46" s="2">
        <v>900</v>
      </c>
    </row>
    <row r="47" spans="1:5" x14ac:dyDescent="0.35">
      <c r="A47" s="1">
        <v>42235</v>
      </c>
      <c r="B47" s="2">
        <v>36</v>
      </c>
      <c r="D47" s="1">
        <v>42235</v>
      </c>
      <c r="E47" s="2">
        <v>17</v>
      </c>
    </row>
    <row r="48" spans="1:5" x14ac:dyDescent="0.35">
      <c r="A48" s="1">
        <v>42249</v>
      </c>
      <c r="B48" s="2">
        <v>76</v>
      </c>
      <c r="D48" s="1">
        <v>42249</v>
      </c>
      <c r="E48" s="2">
        <v>92</v>
      </c>
    </row>
    <row r="49" spans="1:5" x14ac:dyDescent="0.35">
      <c r="A49" s="1">
        <v>42263</v>
      </c>
      <c r="B49" s="2">
        <v>166</v>
      </c>
      <c r="D49" s="1">
        <v>42263</v>
      </c>
      <c r="E49" s="2">
        <v>200</v>
      </c>
    </row>
    <row r="50" spans="1:5" x14ac:dyDescent="0.35">
      <c r="A50" s="1">
        <v>42277</v>
      </c>
      <c r="B50" s="2">
        <v>2400</v>
      </c>
      <c r="D50" s="1">
        <v>42277</v>
      </c>
      <c r="E50" s="2">
        <v>4450</v>
      </c>
    </row>
    <row r="51" spans="1:5" x14ac:dyDescent="0.35">
      <c r="A51" s="1">
        <v>42291</v>
      </c>
      <c r="B51" s="2">
        <v>108</v>
      </c>
      <c r="D51" s="1">
        <v>42291</v>
      </c>
      <c r="E51" s="2">
        <v>11</v>
      </c>
    </row>
    <row r="52" spans="1:5" x14ac:dyDescent="0.35">
      <c r="A52" s="1">
        <v>42305</v>
      </c>
      <c r="B52" s="2">
        <v>150</v>
      </c>
      <c r="D52" s="1">
        <v>42305</v>
      </c>
      <c r="E52" s="2">
        <v>50</v>
      </c>
    </row>
    <row r="53" spans="1:5" x14ac:dyDescent="0.35">
      <c r="A53" s="1">
        <v>42319</v>
      </c>
      <c r="B53" s="2">
        <v>20</v>
      </c>
      <c r="D53" s="1">
        <v>42319</v>
      </c>
      <c r="E53" s="2">
        <v>10</v>
      </c>
    </row>
    <row r="54" spans="1:5" x14ac:dyDescent="0.35">
      <c r="A54" s="1">
        <v>42333</v>
      </c>
      <c r="B54" s="2">
        <v>6</v>
      </c>
      <c r="D54" s="1">
        <v>42333</v>
      </c>
      <c r="E54" s="2">
        <v>1</v>
      </c>
    </row>
    <row r="55" spans="1:5" x14ac:dyDescent="0.35">
      <c r="A55" s="1">
        <v>42347</v>
      </c>
      <c r="B55" s="2">
        <v>2</v>
      </c>
      <c r="D55" s="1">
        <v>42347</v>
      </c>
      <c r="E55" s="2">
        <v>15</v>
      </c>
    </row>
    <row r="56" spans="1:5" x14ac:dyDescent="0.35">
      <c r="A56" s="1">
        <v>42360</v>
      </c>
      <c r="B56" s="2">
        <v>134</v>
      </c>
      <c r="D56" s="1">
        <v>42360</v>
      </c>
      <c r="E56" s="2">
        <v>32</v>
      </c>
    </row>
    <row r="57" spans="1:5" x14ac:dyDescent="0.35">
      <c r="A57" s="1">
        <v>42375</v>
      </c>
      <c r="B57" s="2">
        <v>2</v>
      </c>
      <c r="D57" s="1">
        <v>42375</v>
      </c>
      <c r="E57" s="2">
        <v>9</v>
      </c>
    </row>
    <row r="58" spans="1:5" x14ac:dyDescent="0.35">
      <c r="A58" s="1">
        <v>42389</v>
      </c>
      <c r="B58" s="2">
        <v>0.66666666699999999</v>
      </c>
      <c r="D58" s="1">
        <v>42389</v>
      </c>
      <c r="E58" s="2">
        <v>9</v>
      </c>
    </row>
    <row r="59" spans="1:5" x14ac:dyDescent="0.35">
      <c r="A59" s="1">
        <v>42403</v>
      </c>
      <c r="B59" s="2">
        <v>0.66666666699999999</v>
      </c>
      <c r="D59" s="1">
        <v>42403</v>
      </c>
      <c r="E59" s="2">
        <v>0.33333333300000001</v>
      </c>
    </row>
    <row r="60" spans="1:5" x14ac:dyDescent="0.35">
      <c r="A60" s="1">
        <v>42417</v>
      </c>
      <c r="B60" s="2">
        <v>2</v>
      </c>
      <c r="D60" s="1">
        <v>42417</v>
      </c>
      <c r="E60" s="2">
        <v>8</v>
      </c>
    </row>
    <row r="61" spans="1:5" x14ac:dyDescent="0.35">
      <c r="A61" s="1">
        <v>42431</v>
      </c>
      <c r="B61" s="2">
        <v>0.66666666699999999</v>
      </c>
      <c r="D61" s="1">
        <v>42431</v>
      </c>
      <c r="E61" s="2">
        <v>5</v>
      </c>
    </row>
    <row r="62" spans="1:5" x14ac:dyDescent="0.35">
      <c r="A62" s="1">
        <v>42445</v>
      </c>
      <c r="B62" s="2">
        <v>0.66666666699999999</v>
      </c>
      <c r="D62" s="1">
        <v>42445</v>
      </c>
      <c r="E62" s="2">
        <v>1</v>
      </c>
    </row>
    <row r="63" spans="1:5" x14ac:dyDescent="0.35">
      <c r="A63" s="1">
        <v>42459</v>
      </c>
      <c r="B63" s="2">
        <v>56</v>
      </c>
      <c r="D63" s="1">
        <v>42459</v>
      </c>
      <c r="E63" s="2">
        <v>9</v>
      </c>
    </row>
    <row r="64" spans="1:5" x14ac:dyDescent="0.35">
      <c r="A64" s="1">
        <v>42473</v>
      </c>
      <c r="B64" s="2">
        <v>4</v>
      </c>
      <c r="D64" s="1">
        <v>42473</v>
      </c>
      <c r="E64" s="2">
        <v>5</v>
      </c>
    </row>
    <row r="65" spans="1:5" x14ac:dyDescent="0.35">
      <c r="A65" s="1">
        <v>42486</v>
      </c>
      <c r="B65" s="2">
        <v>12</v>
      </c>
      <c r="D65" s="1">
        <v>42486</v>
      </c>
      <c r="E65" s="2">
        <v>15</v>
      </c>
    </row>
    <row r="66" spans="1:5" x14ac:dyDescent="0.35">
      <c r="A66" s="1">
        <v>42501</v>
      </c>
      <c r="B66" s="2">
        <v>0.66666666699999999</v>
      </c>
      <c r="D66" s="1">
        <v>42501</v>
      </c>
      <c r="E66" s="2">
        <v>9</v>
      </c>
    </row>
    <row r="67" spans="1:5" x14ac:dyDescent="0.35">
      <c r="A67" s="1">
        <v>42515</v>
      </c>
      <c r="B67" s="2">
        <v>30</v>
      </c>
      <c r="D67" s="1">
        <v>42529</v>
      </c>
      <c r="E67" s="2">
        <v>31</v>
      </c>
    </row>
    <row r="68" spans="1:5" x14ac:dyDescent="0.35">
      <c r="A68" s="1">
        <v>42529</v>
      </c>
      <c r="B68" s="2">
        <v>26</v>
      </c>
      <c r="D68" s="1">
        <v>42543</v>
      </c>
      <c r="E68" s="2">
        <v>50</v>
      </c>
    </row>
    <row r="69" spans="1:5" x14ac:dyDescent="0.35">
      <c r="A69" s="1">
        <v>42543</v>
      </c>
      <c r="B69" s="2">
        <v>46</v>
      </c>
      <c r="D69" s="1">
        <v>42557</v>
      </c>
      <c r="E69" s="2">
        <v>300</v>
      </c>
    </row>
    <row r="70" spans="1:5" x14ac:dyDescent="0.35">
      <c r="A70" s="1">
        <v>42557</v>
      </c>
      <c r="B70" s="2">
        <v>500</v>
      </c>
      <c r="D70" s="1">
        <v>42571</v>
      </c>
      <c r="E70" s="2">
        <v>50</v>
      </c>
    </row>
    <row r="71" spans="1:5" x14ac:dyDescent="0.35">
      <c r="A71" s="1">
        <v>42571</v>
      </c>
      <c r="B71" s="2">
        <v>78</v>
      </c>
      <c r="D71" s="1">
        <v>42592</v>
      </c>
      <c r="E71" s="2">
        <v>2</v>
      </c>
    </row>
    <row r="72" spans="1:5" x14ac:dyDescent="0.35">
      <c r="A72" s="1">
        <v>42592</v>
      </c>
      <c r="B72" s="2">
        <v>0.66666666699999999</v>
      </c>
      <c r="D72" s="1">
        <v>42599</v>
      </c>
      <c r="E72" s="2">
        <v>0.33333333300000001</v>
      </c>
    </row>
    <row r="73" spans="1:5" x14ac:dyDescent="0.35">
      <c r="A73" s="1">
        <v>42599</v>
      </c>
      <c r="B73" s="2">
        <v>10</v>
      </c>
      <c r="D73" s="1">
        <v>42613</v>
      </c>
      <c r="E73" s="2">
        <v>12</v>
      </c>
    </row>
    <row r="74" spans="1:5" x14ac:dyDescent="0.35">
      <c r="A74" s="1">
        <v>42613</v>
      </c>
      <c r="B74" s="2">
        <v>12</v>
      </c>
      <c r="D74" s="1">
        <v>42627</v>
      </c>
      <c r="E74" s="2">
        <v>2</v>
      </c>
    </row>
    <row r="75" spans="1:5" x14ac:dyDescent="0.35">
      <c r="A75" s="1">
        <v>42627</v>
      </c>
      <c r="B75" s="2">
        <v>6</v>
      </c>
      <c r="D75" s="1">
        <v>42641</v>
      </c>
      <c r="E75" s="2">
        <v>22</v>
      </c>
    </row>
    <row r="76" spans="1:5" x14ac:dyDescent="0.35">
      <c r="A76" s="1">
        <v>42641</v>
      </c>
      <c r="B76" s="2">
        <v>56</v>
      </c>
      <c r="D76" s="1">
        <v>42655</v>
      </c>
      <c r="E76" s="2">
        <v>6</v>
      </c>
    </row>
    <row r="77" spans="1:5" x14ac:dyDescent="0.35">
      <c r="A77" s="1">
        <v>42655</v>
      </c>
      <c r="B77" s="2">
        <v>30</v>
      </c>
      <c r="D77" s="1">
        <v>42669</v>
      </c>
      <c r="E77" s="2">
        <v>300</v>
      </c>
    </row>
    <row r="78" spans="1:5" x14ac:dyDescent="0.35">
      <c r="A78" s="1">
        <v>42669</v>
      </c>
      <c r="B78" s="2">
        <v>4</v>
      </c>
      <c r="D78" s="1">
        <v>42683</v>
      </c>
      <c r="E78" s="2">
        <v>8</v>
      </c>
    </row>
    <row r="79" spans="1:5" x14ac:dyDescent="0.35">
      <c r="A79" s="1">
        <v>42683</v>
      </c>
      <c r="B79" s="2">
        <v>8</v>
      </c>
      <c r="D79" s="1">
        <v>42697</v>
      </c>
      <c r="E79" s="2">
        <v>0.33333333300000001</v>
      </c>
    </row>
    <row r="80" spans="1:5" x14ac:dyDescent="0.35">
      <c r="A80" s="1">
        <v>42697</v>
      </c>
      <c r="B80" s="2">
        <v>16.666666670000001</v>
      </c>
      <c r="D80" s="1">
        <v>42711</v>
      </c>
      <c r="E80" s="2">
        <v>1</v>
      </c>
    </row>
    <row r="81" spans="1:5" x14ac:dyDescent="0.35">
      <c r="A81" s="1">
        <v>42711</v>
      </c>
      <c r="B81" s="2">
        <v>3.3333333330000001</v>
      </c>
      <c r="D81" s="1">
        <v>42725</v>
      </c>
      <c r="E81" s="2">
        <v>1</v>
      </c>
    </row>
    <row r="82" spans="1:5" x14ac:dyDescent="0.35">
      <c r="A82" s="1">
        <v>42725</v>
      </c>
      <c r="B82" s="2">
        <v>2</v>
      </c>
      <c r="D82" s="1">
        <v>42740</v>
      </c>
      <c r="E82" s="2">
        <v>6</v>
      </c>
    </row>
    <row r="83" spans="1:5" x14ac:dyDescent="0.35">
      <c r="A83" s="1">
        <v>42740</v>
      </c>
      <c r="B83" s="2">
        <v>6</v>
      </c>
      <c r="D83" s="1">
        <v>42753</v>
      </c>
      <c r="E83" s="2">
        <v>7</v>
      </c>
    </row>
    <row r="84" spans="1:5" x14ac:dyDescent="0.35">
      <c r="A84" s="1">
        <v>42753</v>
      </c>
      <c r="B84" s="2">
        <v>0.66666666699999999</v>
      </c>
      <c r="D84" s="1">
        <v>42781</v>
      </c>
      <c r="E84" s="2">
        <v>7</v>
      </c>
    </row>
    <row r="85" spans="1:5" x14ac:dyDescent="0.35">
      <c r="A85" s="1">
        <v>42767</v>
      </c>
      <c r="B85" s="2">
        <v>22</v>
      </c>
      <c r="D85" s="1">
        <v>42795</v>
      </c>
      <c r="E85" s="2">
        <v>1</v>
      </c>
    </row>
    <row r="86" spans="1:5" x14ac:dyDescent="0.35">
      <c r="A86" s="1">
        <v>42781</v>
      </c>
      <c r="B86" s="2">
        <v>2</v>
      </c>
      <c r="D86" s="1">
        <v>42809</v>
      </c>
      <c r="E86" s="2">
        <v>20</v>
      </c>
    </row>
    <row r="87" spans="1:5" x14ac:dyDescent="0.35">
      <c r="A87" s="1">
        <v>42795</v>
      </c>
      <c r="B87" s="2">
        <v>0.66666666699999999</v>
      </c>
      <c r="D87" s="1">
        <v>42823</v>
      </c>
      <c r="E87" s="2">
        <v>6</v>
      </c>
    </row>
    <row r="88" spans="1:5" x14ac:dyDescent="0.35">
      <c r="A88" s="1">
        <v>42809</v>
      </c>
      <c r="B88" s="2">
        <v>6</v>
      </c>
      <c r="D88" s="1">
        <v>42836</v>
      </c>
      <c r="E88" s="2">
        <v>2</v>
      </c>
    </row>
    <row r="89" spans="1:5" x14ac:dyDescent="0.35">
      <c r="A89" s="1">
        <v>42823</v>
      </c>
      <c r="B89" s="2">
        <v>2</v>
      </c>
      <c r="D89" s="1">
        <v>42851</v>
      </c>
      <c r="E89" s="2">
        <v>80</v>
      </c>
    </row>
    <row r="90" spans="1:5" x14ac:dyDescent="0.35">
      <c r="A90" s="1">
        <v>42836</v>
      </c>
      <c r="B90" s="2">
        <v>0.66666666699999999</v>
      </c>
      <c r="D90" s="1">
        <v>42865</v>
      </c>
      <c r="E90" s="2">
        <v>0.33333333300000001</v>
      </c>
    </row>
    <row r="91" spans="1:5" x14ac:dyDescent="0.35">
      <c r="A91" s="1">
        <v>42851</v>
      </c>
      <c r="B91" s="2">
        <v>44</v>
      </c>
      <c r="D91" s="1">
        <v>42879</v>
      </c>
      <c r="E91" s="2">
        <v>61</v>
      </c>
    </row>
    <row r="92" spans="1:5" x14ac:dyDescent="0.35">
      <c r="A92" s="1">
        <v>42865</v>
      </c>
      <c r="B92" s="2">
        <v>0.66666666699999999</v>
      </c>
      <c r="D92" s="1">
        <v>42894</v>
      </c>
      <c r="E92" s="2">
        <v>800</v>
      </c>
    </row>
    <row r="93" spans="1:5" x14ac:dyDescent="0.35">
      <c r="A93" s="1">
        <v>42879</v>
      </c>
      <c r="B93" s="2">
        <v>76</v>
      </c>
      <c r="D93" s="1">
        <v>42907</v>
      </c>
      <c r="E93" s="2">
        <v>100</v>
      </c>
    </row>
    <row r="94" spans="1:5" x14ac:dyDescent="0.35">
      <c r="A94" s="1">
        <v>42894</v>
      </c>
      <c r="B94" s="2">
        <v>158</v>
      </c>
      <c r="D94" s="1">
        <v>42921</v>
      </c>
      <c r="E94" s="2">
        <v>6</v>
      </c>
    </row>
    <row r="95" spans="1:5" x14ac:dyDescent="0.35">
      <c r="A95" s="1">
        <v>42907</v>
      </c>
      <c r="B95" s="2">
        <v>46</v>
      </c>
      <c r="D95" s="1">
        <v>42935</v>
      </c>
      <c r="E95" s="2">
        <v>26</v>
      </c>
    </row>
    <row r="96" spans="1:5" x14ac:dyDescent="0.35">
      <c r="A96" s="1">
        <v>42921</v>
      </c>
      <c r="B96" s="2">
        <v>4</v>
      </c>
      <c r="D96" s="1">
        <v>42949</v>
      </c>
      <c r="E96" s="2">
        <v>68</v>
      </c>
    </row>
    <row r="97" spans="1:5" x14ac:dyDescent="0.35">
      <c r="A97" s="1">
        <v>42935</v>
      </c>
      <c r="B97" s="2">
        <v>54</v>
      </c>
      <c r="D97" s="1">
        <v>42963</v>
      </c>
      <c r="E97" s="2">
        <v>68</v>
      </c>
    </row>
    <row r="98" spans="1:5" x14ac:dyDescent="0.35">
      <c r="A98" s="1">
        <v>42949</v>
      </c>
      <c r="B98" s="2">
        <v>200</v>
      </c>
      <c r="D98" s="1">
        <v>42977</v>
      </c>
      <c r="E98" s="2">
        <v>1050</v>
      </c>
    </row>
    <row r="99" spans="1:5" x14ac:dyDescent="0.35">
      <c r="A99" s="1">
        <v>42963</v>
      </c>
      <c r="B99" s="2">
        <v>98</v>
      </c>
      <c r="D99" s="1">
        <v>42991</v>
      </c>
      <c r="E99" s="2">
        <v>0.33333333300000001</v>
      </c>
    </row>
    <row r="100" spans="1:5" x14ac:dyDescent="0.35">
      <c r="A100" s="1">
        <v>42977</v>
      </c>
      <c r="B100" s="2">
        <v>2350</v>
      </c>
      <c r="D100" s="1">
        <v>43005</v>
      </c>
      <c r="E100" s="2">
        <v>10</v>
      </c>
    </row>
    <row r="101" spans="1:5" x14ac:dyDescent="0.35">
      <c r="A101" s="1">
        <v>42991</v>
      </c>
      <c r="B101" s="2">
        <v>4</v>
      </c>
      <c r="D101" s="1">
        <v>43019</v>
      </c>
      <c r="E101" s="2">
        <v>3</v>
      </c>
    </row>
    <row r="102" spans="1:5" x14ac:dyDescent="0.35">
      <c r="A102" s="1">
        <v>43005</v>
      </c>
      <c r="B102" s="2">
        <v>34</v>
      </c>
      <c r="D102" s="1">
        <v>43033</v>
      </c>
      <c r="E102" s="2">
        <v>19</v>
      </c>
    </row>
    <row r="103" spans="1:5" x14ac:dyDescent="0.35">
      <c r="A103" s="1">
        <v>43019</v>
      </c>
      <c r="B103" s="2">
        <v>10</v>
      </c>
      <c r="D103" s="1">
        <v>43047</v>
      </c>
      <c r="E103" s="2">
        <v>26</v>
      </c>
    </row>
    <row r="104" spans="1:5" x14ac:dyDescent="0.35">
      <c r="A104" s="1">
        <v>43033</v>
      </c>
      <c r="B104" s="2">
        <v>32</v>
      </c>
      <c r="D104" s="1">
        <v>43061</v>
      </c>
      <c r="E104" s="2">
        <v>48</v>
      </c>
    </row>
    <row r="105" spans="1:5" x14ac:dyDescent="0.35">
      <c r="A105" s="1">
        <v>43047</v>
      </c>
      <c r="B105" s="2">
        <v>4</v>
      </c>
      <c r="D105" s="1">
        <v>43075</v>
      </c>
      <c r="E105" s="2">
        <v>11</v>
      </c>
    </row>
    <row r="106" spans="1:5" x14ac:dyDescent="0.35">
      <c r="A106" s="1">
        <v>43061</v>
      </c>
      <c r="B106" s="2">
        <v>24</v>
      </c>
      <c r="D106" s="1">
        <v>43089</v>
      </c>
      <c r="E106" s="2">
        <v>1</v>
      </c>
    </row>
    <row r="107" spans="1:5" x14ac:dyDescent="0.35">
      <c r="A107" s="1">
        <v>43075</v>
      </c>
      <c r="B107" s="2">
        <v>2</v>
      </c>
      <c r="D107" s="1">
        <v>43103</v>
      </c>
      <c r="E107" s="2">
        <v>40</v>
      </c>
    </row>
    <row r="108" spans="1:5" x14ac:dyDescent="0.35">
      <c r="A108" s="1">
        <v>43089</v>
      </c>
      <c r="B108" s="2">
        <v>0.66666666699999999</v>
      </c>
      <c r="D108" s="1">
        <v>43117</v>
      </c>
      <c r="E108" s="2">
        <v>250</v>
      </c>
    </row>
    <row r="109" spans="1:5" x14ac:dyDescent="0.35">
      <c r="A109" s="1">
        <v>43103</v>
      </c>
      <c r="B109" s="2">
        <v>0.66666666699999999</v>
      </c>
      <c r="D109" s="1">
        <v>43131</v>
      </c>
      <c r="E109" s="2">
        <v>2</v>
      </c>
    </row>
    <row r="110" spans="1:5" x14ac:dyDescent="0.35">
      <c r="A110" s="1">
        <v>43117</v>
      </c>
      <c r="B110" s="2">
        <v>14</v>
      </c>
      <c r="D110" s="1">
        <v>43145</v>
      </c>
      <c r="E110" s="2">
        <v>19</v>
      </c>
    </row>
    <row r="111" spans="1:5" x14ac:dyDescent="0.35">
      <c r="A111" s="1">
        <v>43131</v>
      </c>
      <c r="B111" s="2">
        <v>2</v>
      </c>
      <c r="D111" s="1">
        <v>43159</v>
      </c>
      <c r="E111" s="2">
        <v>21</v>
      </c>
    </row>
    <row r="112" spans="1:5" x14ac:dyDescent="0.35">
      <c r="A112" s="1">
        <v>43145</v>
      </c>
      <c r="B112" s="2">
        <v>2</v>
      </c>
      <c r="D112" s="1">
        <v>43173</v>
      </c>
      <c r="E112" s="2">
        <v>5</v>
      </c>
    </row>
    <row r="113" spans="1:5" x14ac:dyDescent="0.35">
      <c r="A113" s="1">
        <v>43159</v>
      </c>
      <c r="B113" s="2">
        <v>0.66666666699999999</v>
      </c>
      <c r="D113" s="1">
        <v>43186</v>
      </c>
      <c r="E113" s="2">
        <v>0.33333333300000001</v>
      </c>
    </row>
    <row r="114" spans="1:5" x14ac:dyDescent="0.35">
      <c r="A114" s="1">
        <v>43173</v>
      </c>
      <c r="B114" s="2">
        <v>6</v>
      </c>
      <c r="D114" s="1">
        <v>43201</v>
      </c>
      <c r="E114" s="2">
        <v>8</v>
      </c>
    </row>
    <row r="115" spans="1:5" x14ac:dyDescent="0.35">
      <c r="A115" s="1">
        <v>43186</v>
      </c>
      <c r="B115" s="2">
        <v>0.66666666699999999</v>
      </c>
      <c r="D115" s="1">
        <v>43215</v>
      </c>
      <c r="E115" s="2">
        <v>2</v>
      </c>
    </row>
    <row r="116" spans="1:5" x14ac:dyDescent="0.35">
      <c r="A116" s="1">
        <v>43201</v>
      </c>
      <c r="B116" s="2">
        <v>20</v>
      </c>
      <c r="D116" s="1">
        <v>43229</v>
      </c>
      <c r="E116" s="2">
        <v>200</v>
      </c>
    </row>
    <row r="117" spans="1:5" x14ac:dyDescent="0.35">
      <c r="A117" s="1">
        <v>43215</v>
      </c>
      <c r="B117" s="2">
        <v>6</v>
      </c>
      <c r="D117" s="1">
        <v>43243</v>
      </c>
      <c r="E117" s="2">
        <v>41</v>
      </c>
    </row>
    <row r="118" spans="1:5" x14ac:dyDescent="0.35">
      <c r="A118" s="1">
        <v>43229</v>
      </c>
      <c r="B118" s="2">
        <v>30</v>
      </c>
      <c r="D118" s="1">
        <v>43257</v>
      </c>
      <c r="E118" s="2">
        <v>9</v>
      </c>
    </row>
    <row r="119" spans="1:5" x14ac:dyDescent="0.35">
      <c r="A119" s="1">
        <v>43243</v>
      </c>
      <c r="B119" s="2">
        <v>46</v>
      </c>
      <c r="D119" s="1">
        <v>43271</v>
      </c>
      <c r="E119" s="2">
        <v>54</v>
      </c>
    </row>
    <row r="120" spans="1:5" x14ac:dyDescent="0.35">
      <c r="A120" s="1">
        <v>43257</v>
      </c>
      <c r="B120" s="2">
        <v>10</v>
      </c>
      <c r="D120" s="1">
        <v>43285</v>
      </c>
      <c r="E120" s="2">
        <v>0.33333333300000001</v>
      </c>
    </row>
    <row r="121" spans="1:5" x14ac:dyDescent="0.35">
      <c r="A121" s="1">
        <v>43271</v>
      </c>
      <c r="B121" s="2">
        <v>48</v>
      </c>
      <c r="D121" s="1">
        <v>43299</v>
      </c>
      <c r="E121" s="2">
        <v>12</v>
      </c>
    </row>
    <row r="122" spans="1:5" x14ac:dyDescent="0.35">
      <c r="A122" s="1">
        <v>43285</v>
      </c>
      <c r="B122" s="2">
        <v>60</v>
      </c>
      <c r="D122" s="1">
        <v>43313</v>
      </c>
      <c r="E122" s="2">
        <v>18</v>
      </c>
    </row>
    <row r="123" spans="1:5" x14ac:dyDescent="0.35">
      <c r="A123" s="1">
        <v>43299</v>
      </c>
      <c r="B123" s="2">
        <v>18</v>
      </c>
      <c r="D123" s="1">
        <v>43327</v>
      </c>
      <c r="E123" s="2">
        <v>42</v>
      </c>
    </row>
    <row r="124" spans="1:5" x14ac:dyDescent="0.35">
      <c r="A124" s="1">
        <v>43313</v>
      </c>
      <c r="B124" s="2">
        <v>12</v>
      </c>
      <c r="D124" s="1">
        <v>43341</v>
      </c>
      <c r="E124" s="2">
        <v>18</v>
      </c>
    </row>
    <row r="125" spans="1:5" x14ac:dyDescent="0.35">
      <c r="A125" s="1">
        <v>43327</v>
      </c>
      <c r="B125" s="2">
        <v>40</v>
      </c>
      <c r="D125" s="1">
        <v>43355</v>
      </c>
      <c r="E125" s="2">
        <v>50</v>
      </c>
    </row>
    <row r="126" spans="1:5" x14ac:dyDescent="0.35">
      <c r="A126" s="1">
        <v>43341</v>
      </c>
      <c r="B126" s="2">
        <v>10</v>
      </c>
      <c r="D126" s="1">
        <v>43369</v>
      </c>
      <c r="E126" s="2">
        <v>25</v>
      </c>
    </row>
    <row r="127" spans="1:5" x14ac:dyDescent="0.35">
      <c r="A127" s="1">
        <v>43355</v>
      </c>
      <c r="B127" s="2">
        <v>34</v>
      </c>
      <c r="D127" s="1">
        <v>43383</v>
      </c>
      <c r="E127" s="2">
        <v>3</v>
      </c>
    </row>
    <row r="128" spans="1:5" x14ac:dyDescent="0.35">
      <c r="A128" s="1">
        <v>43369</v>
      </c>
      <c r="B128" s="2">
        <v>26</v>
      </c>
      <c r="D128" s="1">
        <v>43397.395833333336</v>
      </c>
      <c r="E128" s="2">
        <v>0.33333333300000001</v>
      </c>
    </row>
    <row r="129" spans="1:5" x14ac:dyDescent="0.35">
      <c r="A129" s="1">
        <v>43383</v>
      </c>
      <c r="B129" s="2">
        <v>2</v>
      </c>
      <c r="D129" s="1">
        <v>43411.388888888891</v>
      </c>
      <c r="E129" s="2">
        <v>0.33333333300000001</v>
      </c>
    </row>
    <row r="130" spans="1:5" x14ac:dyDescent="0.35">
      <c r="A130" s="1">
        <v>43397.395833333336</v>
      </c>
      <c r="B130" s="2">
        <v>2</v>
      </c>
      <c r="D130" s="1">
        <v>43425.430555555555</v>
      </c>
      <c r="E130" s="2">
        <v>0.33333333300000001</v>
      </c>
    </row>
    <row r="131" spans="1:5" x14ac:dyDescent="0.35">
      <c r="A131" s="1">
        <v>43411.388888888891</v>
      </c>
      <c r="B131" s="2">
        <v>8</v>
      </c>
      <c r="D131" s="1">
        <v>43439</v>
      </c>
      <c r="E131" s="2">
        <v>8</v>
      </c>
    </row>
    <row r="132" spans="1:5" x14ac:dyDescent="0.35">
      <c r="A132" s="1">
        <v>43425.430555555555</v>
      </c>
      <c r="B132" s="2">
        <v>0.66666666699999999</v>
      </c>
      <c r="D132" s="1">
        <v>43453.42083333333</v>
      </c>
      <c r="E132" s="2">
        <v>1</v>
      </c>
    </row>
    <row r="133" spans="1:5" x14ac:dyDescent="0.35">
      <c r="A133" s="1">
        <v>43439</v>
      </c>
      <c r="B133" s="2">
        <v>44</v>
      </c>
      <c r="D133" s="1">
        <v>43468.438888888886</v>
      </c>
      <c r="E133" s="2">
        <v>1</v>
      </c>
    </row>
    <row r="134" spans="1:5" x14ac:dyDescent="0.35">
      <c r="A134" s="1">
        <v>43453.42083333333</v>
      </c>
      <c r="B134" s="2">
        <v>0.66666666699999999</v>
      </c>
      <c r="D134" s="1">
        <v>43481.42083333333</v>
      </c>
      <c r="E134" s="2">
        <v>8</v>
      </c>
    </row>
    <row r="135" spans="1:5" x14ac:dyDescent="0.35">
      <c r="A135" s="1">
        <v>43468.438888888886</v>
      </c>
      <c r="B135" s="2">
        <v>10</v>
      </c>
      <c r="D135" s="1">
        <v>43495</v>
      </c>
      <c r="E135" s="2">
        <v>1</v>
      </c>
    </row>
    <row r="136" spans="1:5" x14ac:dyDescent="0.35">
      <c r="A136" s="1">
        <v>43481.42083333333</v>
      </c>
      <c r="B136" s="2">
        <v>20</v>
      </c>
      <c r="D136" s="1">
        <v>43509.435416666667</v>
      </c>
      <c r="E136" s="2">
        <v>0.33333333300000001</v>
      </c>
    </row>
    <row r="137" spans="1:5" x14ac:dyDescent="0.35">
      <c r="A137" s="1">
        <v>43495</v>
      </c>
      <c r="B137" s="2">
        <v>0.66666666699999999</v>
      </c>
      <c r="D137" s="1">
        <v>43523.447916666664</v>
      </c>
      <c r="E137" s="2">
        <v>1</v>
      </c>
    </row>
    <row r="138" spans="1:5" x14ac:dyDescent="0.35">
      <c r="A138" s="1">
        <v>43509.435416666667</v>
      </c>
      <c r="B138" s="2">
        <v>0.66666666699999999</v>
      </c>
      <c r="D138" s="1">
        <v>43537</v>
      </c>
      <c r="E138" s="2">
        <v>18</v>
      </c>
    </row>
    <row r="139" spans="1:5" x14ac:dyDescent="0.35">
      <c r="A139" s="1">
        <v>43523.447916666664</v>
      </c>
      <c r="B139" s="2">
        <v>18</v>
      </c>
      <c r="D139" s="1">
        <v>43565</v>
      </c>
      <c r="E139" s="2">
        <v>5</v>
      </c>
    </row>
    <row r="140" spans="1:5" x14ac:dyDescent="0.35">
      <c r="A140" s="1">
        <v>43537</v>
      </c>
      <c r="B140" s="2">
        <v>6</v>
      </c>
      <c r="D140" s="1">
        <v>43579</v>
      </c>
      <c r="E140" s="2">
        <v>6</v>
      </c>
    </row>
    <row r="141" spans="1:5" x14ac:dyDescent="0.35">
      <c r="A141" s="1">
        <v>43565</v>
      </c>
      <c r="B141" s="2">
        <v>6</v>
      </c>
      <c r="D141" s="1">
        <v>43592</v>
      </c>
      <c r="E141" s="3">
        <v>5</v>
      </c>
    </row>
    <row r="142" spans="1:5" x14ac:dyDescent="0.35">
      <c r="A142" s="1">
        <v>43579</v>
      </c>
      <c r="B142" s="2">
        <v>2</v>
      </c>
      <c r="D142" s="1">
        <v>43607</v>
      </c>
      <c r="E142" s="3">
        <v>17</v>
      </c>
    </row>
    <row r="143" spans="1:5" x14ac:dyDescent="0.35">
      <c r="A143" s="1">
        <v>43592</v>
      </c>
      <c r="B143" s="2">
        <v>0.66666666699999999</v>
      </c>
      <c r="D143" s="1">
        <v>43621</v>
      </c>
      <c r="E143" s="3">
        <v>750</v>
      </c>
    </row>
    <row r="144" spans="1:5" x14ac:dyDescent="0.35">
      <c r="A144" s="1">
        <v>43607</v>
      </c>
      <c r="B144" s="3">
        <v>20</v>
      </c>
      <c r="D144" s="1">
        <v>43635</v>
      </c>
      <c r="E144" s="3">
        <v>13</v>
      </c>
    </row>
    <row r="145" spans="1:5" x14ac:dyDescent="0.35">
      <c r="A145" s="1">
        <v>43621</v>
      </c>
      <c r="B145" s="3">
        <v>800</v>
      </c>
      <c r="D145" s="1">
        <v>43650</v>
      </c>
      <c r="E145" s="3">
        <v>39</v>
      </c>
    </row>
    <row r="146" spans="1:5" x14ac:dyDescent="0.35">
      <c r="A146" s="1">
        <v>43635</v>
      </c>
      <c r="B146" s="3">
        <v>30</v>
      </c>
      <c r="D146" s="1">
        <v>43663</v>
      </c>
      <c r="E146" s="3">
        <v>7</v>
      </c>
    </row>
    <row r="147" spans="1:5" x14ac:dyDescent="0.35">
      <c r="A147" s="1">
        <v>43650</v>
      </c>
      <c r="B147" s="3">
        <v>80</v>
      </c>
      <c r="D147" s="1">
        <v>43677</v>
      </c>
      <c r="E147" s="3">
        <v>500</v>
      </c>
    </row>
    <row r="148" spans="1:5" x14ac:dyDescent="0.35">
      <c r="A148" s="1">
        <v>43663</v>
      </c>
      <c r="B148" s="3">
        <v>6</v>
      </c>
      <c r="D148" s="1">
        <v>43691</v>
      </c>
      <c r="E148" s="3">
        <v>47</v>
      </c>
    </row>
    <row r="149" spans="1:5" x14ac:dyDescent="0.35">
      <c r="A149" s="1">
        <v>43677</v>
      </c>
      <c r="B149" s="3">
        <v>450</v>
      </c>
      <c r="D149" s="1">
        <v>43705</v>
      </c>
      <c r="E149" s="3">
        <v>22</v>
      </c>
    </row>
    <row r="150" spans="1:5" x14ac:dyDescent="0.35">
      <c r="A150" s="1">
        <v>43691</v>
      </c>
      <c r="B150" s="3">
        <v>56</v>
      </c>
      <c r="D150" s="1">
        <v>43747</v>
      </c>
      <c r="E150" s="3">
        <v>24</v>
      </c>
    </row>
    <row r="151" spans="1:5" x14ac:dyDescent="0.35">
      <c r="A151" s="1">
        <v>43705</v>
      </c>
      <c r="B151" s="3">
        <v>44</v>
      </c>
      <c r="D151" s="1">
        <v>43761</v>
      </c>
      <c r="E151" s="3">
        <v>34</v>
      </c>
    </row>
    <row r="152" spans="1:5" x14ac:dyDescent="0.35">
      <c r="A152" s="1">
        <v>43747</v>
      </c>
      <c r="B152" s="3">
        <v>10</v>
      </c>
      <c r="D152" s="1">
        <v>43775</v>
      </c>
      <c r="E152" s="3">
        <v>35</v>
      </c>
    </row>
    <row r="153" spans="1:5" x14ac:dyDescent="0.35">
      <c r="A153" s="1">
        <v>43761</v>
      </c>
      <c r="B153" s="3">
        <v>20</v>
      </c>
      <c r="D153" s="1">
        <v>43789</v>
      </c>
      <c r="E153" s="3">
        <v>2</v>
      </c>
    </row>
    <row r="154" spans="1:5" x14ac:dyDescent="0.35">
      <c r="A154" s="1">
        <v>43775</v>
      </c>
      <c r="B154" s="3">
        <v>16</v>
      </c>
      <c r="D154" s="1">
        <v>43804</v>
      </c>
      <c r="E154" s="3">
        <v>11</v>
      </c>
    </row>
    <row r="155" spans="1:5" x14ac:dyDescent="0.35">
      <c r="A155" s="1">
        <v>43789</v>
      </c>
      <c r="B155" s="2">
        <v>0.66666666699999999</v>
      </c>
      <c r="D155" s="1">
        <v>43817</v>
      </c>
      <c r="E155" s="3">
        <v>15</v>
      </c>
    </row>
    <row r="156" spans="1:5" x14ac:dyDescent="0.35">
      <c r="A156" s="4">
        <v>43804</v>
      </c>
      <c r="B156" s="3">
        <v>6</v>
      </c>
      <c r="D156" s="1">
        <v>43845</v>
      </c>
      <c r="E156" s="3">
        <f>1/3</f>
        <v>0.33333333333333331</v>
      </c>
    </row>
    <row r="157" spans="1:5" x14ac:dyDescent="0.35">
      <c r="A157" s="4">
        <v>43817</v>
      </c>
      <c r="B157" s="3">
        <v>12</v>
      </c>
      <c r="D157" s="1">
        <v>43873</v>
      </c>
      <c r="E157" s="3">
        <v>250</v>
      </c>
    </row>
    <row r="158" spans="1:5" x14ac:dyDescent="0.35">
      <c r="A158" s="4">
        <v>43845</v>
      </c>
      <c r="B158" s="3">
        <v>0.66666599999999998</v>
      </c>
      <c r="D158" s="1">
        <v>43887</v>
      </c>
      <c r="E158" s="3">
        <v>38</v>
      </c>
    </row>
    <row r="159" spans="1:5" x14ac:dyDescent="0.35">
      <c r="A159" s="4">
        <v>43873</v>
      </c>
      <c r="B159" s="3">
        <v>300</v>
      </c>
      <c r="D159" s="1">
        <v>43901</v>
      </c>
      <c r="E159" s="3">
        <v>46</v>
      </c>
    </row>
    <row r="160" spans="1:5" x14ac:dyDescent="0.35">
      <c r="A160" s="4">
        <v>43887</v>
      </c>
      <c r="B160" s="3">
        <v>10</v>
      </c>
      <c r="D160" s="1">
        <v>43915</v>
      </c>
      <c r="E160" s="3">
        <v>1</v>
      </c>
    </row>
    <row r="161" spans="1:5" x14ac:dyDescent="0.35">
      <c r="A161" s="4">
        <v>43901</v>
      </c>
      <c r="B161" s="3">
        <v>12</v>
      </c>
      <c r="D161" s="1">
        <v>44006</v>
      </c>
      <c r="E161" s="3">
        <v>10</v>
      </c>
    </row>
    <row r="162" spans="1:5" x14ac:dyDescent="0.35">
      <c r="A162" s="4">
        <v>43915</v>
      </c>
      <c r="B162" s="3">
        <v>2</v>
      </c>
      <c r="D162" s="1">
        <v>44020</v>
      </c>
      <c r="E162" s="3">
        <v>22</v>
      </c>
    </row>
    <row r="163" spans="1:5" x14ac:dyDescent="0.35">
      <c r="A163" s="4">
        <v>44006</v>
      </c>
      <c r="B163" s="3">
        <v>6</v>
      </c>
      <c r="D163" s="1">
        <v>44062</v>
      </c>
      <c r="E163" s="3">
        <v>29</v>
      </c>
    </row>
    <row r="164" spans="1:5" x14ac:dyDescent="0.35">
      <c r="A164" s="4">
        <v>44020</v>
      </c>
      <c r="B164" s="3">
        <v>12</v>
      </c>
      <c r="D164" s="1">
        <v>44069</v>
      </c>
      <c r="E164" s="3">
        <v>84</v>
      </c>
    </row>
    <row r="165" spans="1:5" x14ac:dyDescent="0.35">
      <c r="A165" s="4">
        <v>44062</v>
      </c>
      <c r="B165" s="3">
        <v>4</v>
      </c>
      <c r="D165" s="1">
        <v>44083</v>
      </c>
      <c r="E165" s="3">
        <v>10</v>
      </c>
    </row>
    <row r="166" spans="1:5" x14ac:dyDescent="0.35">
      <c r="A166" s="4">
        <v>44069</v>
      </c>
      <c r="B166" s="3">
        <v>70</v>
      </c>
      <c r="D166" s="1">
        <v>44097</v>
      </c>
      <c r="E166" s="3">
        <v>0.12493873660829993</v>
      </c>
    </row>
    <row r="167" spans="1:5" x14ac:dyDescent="0.35">
      <c r="A167" s="4">
        <v>44083</v>
      </c>
      <c r="B167" s="3">
        <v>0.22184874961635634</v>
      </c>
      <c r="D167" s="1">
        <v>44111</v>
      </c>
      <c r="E167" s="3">
        <v>1000</v>
      </c>
    </row>
    <row r="168" spans="1:5" x14ac:dyDescent="0.35">
      <c r="A168" s="4">
        <v>44097</v>
      </c>
      <c r="B168" s="3">
        <v>4</v>
      </c>
      <c r="D168" s="1">
        <v>44125</v>
      </c>
      <c r="E168" s="3">
        <v>13</v>
      </c>
    </row>
    <row r="169" spans="1:5" x14ac:dyDescent="0.35">
      <c r="A169" s="4">
        <v>44111</v>
      </c>
      <c r="B169" s="3">
        <v>92</v>
      </c>
      <c r="D169" s="1">
        <v>44139</v>
      </c>
      <c r="E169" s="3">
        <v>17</v>
      </c>
    </row>
    <row r="170" spans="1:5" x14ac:dyDescent="0.35">
      <c r="A170" s="4">
        <v>44125</v>
      </c>
      <c r="B170" s="3">
        <v>24</v>
      </c>
      <c r="D170" s="1">
        <v>44153</v>
      </c>
      <c r="E170" s="3">
        <v>1</v>
      </c>
    </row>
    <row r="171" spans="1:5" x14ac:dyDescent="0.35">
      <c r="A171" s="4">
        <v>44139</v>
      </c>
      <c r="B171" s="3">
        <f>2/3</f>
        <v>0.66666666666666663</v>
      </c>
      <c r="D171" s="1">
        <v>44167</v>
      </c>
      <c r="E171" s="3">
        <f>1/3</f>
        <v>0.33333333333333331</v>
      </c>
    </row>
    <row r="172" spans="1:5" x14ac:dyDescent="0.35">
      <c r="A172" s="1">
        <v>44153</v>
      </c>
      <c r="B172" s="3">
        <f>2/3</f>
        <v>0.66666666666666663</v>
      </c>
      <c r="D172" s="1">
        <v>44179</v>
      </c>
      <c r="E172" s="3">
        <v>12</v>
      </c>
    </row>
    <row r="173" spans="1:5" x14ac:dyDescent="0.35">
      <c r="A173" s="4">
        <v>44167</v>
      </c>
      <c r="B173" s="3">
        <f>2/3</f>
        <v>0.66666666666666663</v>
      </c>
      <c r="D173" s="1">
        <v>44195</v>
      </c>
      <c r="E173" s="3">
        <v>40</v>
      </c>
    </row>
    <row r="174" spans="1:5" x14ac:dyDescent="0.35">
      <c r="A174" s="4">
        <v>44179</v>
      </c>
      <c r="B174" s="3">
        <v>2</v>
      </c>
      <c r="D174" s="1">
        <v>44209</v>
      </c>
      <c r="E174" s="3">
        <v>7</v>
      </c>
    </row>
    <row r="175" spans="1:5" x14ac:dyDescent="0.35">
      <c r="A175" s="4">
        <v>44195</v>
      </c>
      <c r="B175" s="3">
        <v>22</v>
      </c>
      <c r="D175" s="1">
        <v>44223</v>
      </c>
      <c r="E175" s="3">
        <v>2</v>
      </c>
    </row>
    <row r="176" spans="1:5" x14ac:dyDescent="0.35">
      <c r="A176" s="4">
        <v>44209</v>
      </c>
      <c r="B176" s="3">
        <f>2/3</f>
        <v>0.66666666666666663</v>
      </c>
      <c r="D176" s="1">
        <v>44237</v>
      </c>
      <c r="E176" s="3">
        <v>12</v>
      </c>
    </row>
    <row r="177" spans="1:5" x14ac:dyDescent="0.35">
      <c r="A177" s="4">
        <v>44223</v>
      </c>
      <c r="B177" s="3">
        <f>2/3</f>
        <v>0.66666666666666663</v>
      </c>
      <c r="D177" s="1">
        <v>44266</v>
      </c>
      <c r="E177" s="3">
        <f>100*3</f>
        <v>300</v>
      </c>
    </row>
    <row r="178" spans="1:5" x14ac:dyDescent="0.35">
      <c r="A178" s="4">
        <v>44237</v>
      </c>
      <c r="B178" s="3">
        <v>6</v>
      </c>
      <c r="D178" s="1">
        <v>44267</v>
      </c>
      <c r="E178" s="3">
        <v>9</v>
      </c>
    </row>
    <row r="179" spans="1:5" x14ac:dyDescent="0.35">
      <c r="A179" s="4">
        <v>44266</v>
      </c>
      <c r="B179" s="3">
        <f>200*3</f>
        <v>600</v>
      </c>
      <c r="D179" s="1">
        <v>44268</v>
      </c>
      <c r="E179" s="3">
        <v>76</v>
      </c>
    </row>
    <row r="180" spans="1:5" x14ac:dyDescent="0.35">
      <c r="A180" s="4">
        <v>44295</v>
      </c>
      <c r="B180" s="3">
        <v>42</v>
      </c>
      <c r="D180" s="1">
        <v>44269</v>
      </c>
      <c r="E180" s="3">
        <v>13</v>
      </c>
    </row>
    <row r="181" spans="1:5" x14ac:dyDescent="0.35">
      <c r="A181" s="4">
        <v>44302</v>
      </c>
      <c r="B181" s="3"/>
      <c r="D181" s="1">
        <v>44270</v>
      </c>
      <c r="E181" s="3">
        <v>73</v>
      </c>
    </row>
    <row r="182" spans="1:5" x14ac:dyDescent="0.35">
      <c r="A182" s="4">
        <v>44307</v>
      </c>
      <c r="B182" s="3">
        <f>2/3</f>
        <v>0.66666666666666663</v>
      </c>
      <c r="D182" s="1">
        <v>44271</v>
      </c>
      <c r="E182" s="3">
        <v>24</v>
      </c>
    </row>
    <row r="183" spans="1:5" x14ac:dyDescent="0.35">
      <c r="A183" s="4">
        <v>44321</v>
      </c>
      <c r="B183" s="3">
        <f>5000*3</f>
        <v>15000</v>
      </c>
      <c r="D183" s="1">
        <v>44272</v>
      </c>
      <c r="E183" s="3">
        <v>66</v>
      </c>
    </row>
    <row r="184" spans="1:5" x14ac:dyDescent="0.35">
      <c r="A184" s="4">
        <v>44349</v>
      </c>
      <c r="B184" s="3">
        <v>500</v>
      </c>
      <c r="D184" s="1">
        <v>44302</v>
      </c>
      <c r="E184" s="3">
        <v>350</v>
      </c>
    </row>
    <row r="185" spans="1:5" x14ac:dyDescent="0.35">
      <c r="A185" s="4">
        <v>44433</v>
      </c>
      <c r="B185" s="3">
        <f>200*3</f>
        <v>600</v>
      </c>
      <c r="D185" s="1">
        <v>44307</v>
      </c>
      <c r="E185" s="3">
        <f>1/3</f>
        <v>0.33333333333333331</v>
      </c>
    </row>
    <row r="186" spans="1:5" x14ac:dyDescent="0.35">
      <c r="A186" s="4">
        <v>44447</v>
      </c>
      <c r="B186" s="3">
        <v>1700</v>
      </c>
      <c r="D186" s="1">
        <v>44321</v>
      </c>
      <c r="E186" s="3">
        <v>1400</v>
      </c>
    </row>
    <row r="187" spans="1:5" x14ac:dyDescent="0.35">
      <c r="A187" s="4">
        <v>44461</v>
      </c>
      <c r="B187" s="3">
        <v>36</v>
      </c>
      <c r="D187" s="1">
        <v>44349</v>
      </c>
      <c r="E187" s="3">
        <v>7</v>
      </c>
    </row>
    <row r="188" spans="1:5" x14ac:dyDescent="0.35">
      <c r="A188" s="4">
        <v>44475</v>
      </c>
      <c r="B188" s="3">
        <f>200*3</f>
        <v>600</v>
      </c>
      <c r="D188" s="1">
        <v>44433</v>
      </c>
      <c r="E188" s="3">
        <v>12</v>
      </c>
    </row>
    <row r="189" spans="1:5" x14ac:dyDescent="0.35">
      <c r="A189" s="4">
        <v>44517</v>
      </c>
      <c r="B189" s="3">
        <v>10</v>
      </c>
      <c r="D189" s="1">
        <v>44434</v>
      </c>
      <c r="E189" s="3">
        <v>34</v>
      </c>
    </row>
    <row r="190" spans="1:5" x14ac:dyDescent="0.35">
      <c r="A190" s="4">
        <v>44574</v>
      </c>
      <c r="B190" s="3">
        <v>10</v>
      </c>
      <c r="D190" s="1">
        <v>44435</v>
      </c>
      <c r="E190" s="3">
        <v>20</v>
      </c>
    </row>
    <row r="191" spans="1:5" x14ac:dyDescent="0.35">
      <c r="A191" s="4">
        <v>44602</v>
      </c>
      <c r="B191" s="3">
        <v>110</v>
      </c>
      <c r="D191" s="1">
        <v>44436</v>
      </c>
      <c r="E191" s="3">
        <v>134</v>
      </c>
    </row>
    <row r="192" spans="1:5" x14ac:dyDescent="0.35">
      <c r="A192" s="4">
        <v>44679</v>
      </c>
      <c r="B192" s="3">
        <v>20</v>
      </c>
      <c r="D192" s="1">
        <v>44437</v>
      </c>
      <c r="E192" s="3">
        <v>20</v>
      </c>
    </row>
    <row r="193" spans="1:5" x14ac:dyDescent="0.35">
      <c r="A193" s="4">
        <v>44707</v>
      </c>
      <c r="B193" s="3">
        <v>10</v>
      </c>
      <c r="D193" s="1">
        <v>44438</v>
      </c>
      <c r="E193" s="3">
        <v>45</v>
      </c>
    </row>
    <row r="194" spans="1:5" x14ac:dyDescent="0.35">
      <c r="A194" s="4">
        <v>44756</v>
      </c>
      <c r="B194" s="3">
        <v>22</v>
      </c>
      <c r="D194" s="1">
        <v>44439</v>
      </c>
      <c r="E194" s="3">
        <v>21</v>
      </c>
    </row>
    <row r="195" spans="1:5" x14ac:dyDescent="0.35">
      <c r="A195" s="4">
        <v>44798</v>
      </c>
      <c r="B195" s="3">
        <v>290</v>
      </c>
      <c r="D195" s="1">
        <v>44447</v>
      </c>
      <c r="E195" s="3">
        <v>82</v>
      </c>
    </row>
    <row r="196" spans="1:5" x14ac:dyDescent="0.35">
      <c r="A196" s="4">
        <v>44966</v>
      </c>
      <c r="B196" s="3">
        <v>7</v>
      </c>
      <c r="D196" s="1">
        <v>44461</v>
      </c>
      <c r="E196" s="3">
        <v>14</v>
      </c>
    </row>
    <row r="197" spans="1:5" x14ac:dyDescent="0.35">
      <c r="A197" s="4">
        <v>44993</v>
      </c>
      <c r="B197" s="3">
        <v>93</v>
      </c>
      <c r="D197" s="1">
        <v>44475</v>
      </c>
      <c r="E197" s="3">
        <v>24</v>
      </c>
    </row>
    <row r="198" spans="1:5" x14ac:dyDescent="0.35">
      <c r="A198" s="4">
        <v>45029</v>
      </c>
      <c r="B198" s="3">
        <v>36</v>
      </c>
      <c r="D198" s="1">
        <v>44517</v>
      </c>
      <c r="E198" s="3">
        <f>10/3</f>
        <v>3.3333333333333335</v>
      </c>
    </row>
    <row r="199" spans="1:5" x14ac:dyDescent="0.35">
      <c r="A199" s="4">
        <v>45035</v>
      </c>
      <c r="B199" s="3">
        <v>13</v>
      </c>
      <c r="D199" s="1">
        <v>44574</v>
      </c>
      <c r="E199" s="3">
        <f>10/3</f>
        <v>3.3333333333333335</v>
      </c>
    </row>
    <row r="200" spans="1:5" x14ac:dyDescent="0.35">
      <c r="A200" s="4">
        <v>45063</v>
      </c>
      <c r="B200" s="3">
        <v>54</v>
      </c>
      <c r="D200" s="1">
        <v>44602</v>
      </c>
      <c r="E200" s="3">
        <f>10/3</f>
        <v>3.3333333333333335</v>
      </c>
    </row>
    <row r="201" spans="1:5" x14ac:dyDescent="0.35">
      <c r="A201" s="4">
        <v>45105</v>
      </c>
      <c r="B201" s="3">
        <v>38</v>
      </c>
      <c r="D201" s="1">
        <v>44614</v>
      </c>
      <c r="E201" s="3">
        <v>517</v>
      </c>
    </row>
    <row r="202" spans="1:5" x14ac:dyDescent="0.35">
      <c r="A202" s="4">
        <v>45119</v>
      </c>
      <c r="B202" s="3">
        <v>32</v>
      </c>
      <c r="D202" s="1">
        <v>44894</v>
      </c>
      <c r="E202" s="3">
        <f>1/3</f>
        <v>0.33333333333333331</v>
      </c>
    </row>
    <row r="203" spans="1:5" x14ac:dyDescent="0.35">
      <c r="A203" s="4">
        <v>45133</v>
      </c>
      <c r="B203" s="3">
        <v>76</v>
      </c>
      <c r="D203" s="1">
        <v>44903</v>
      </c>
      <c r="E203" s="3">
        <v>4</v>
      </c>
    </row>
    <row r="204" spans="1:5" x14ac:dyDescent="0.35">
      <c r="A204" s="4">
        <v>45154</v>
      </c>
      <c r="B204" s="3">
        <v>1</v>
      </c>
      <c r="D204" s="1">
        <v>45259</v>
      </c>
      <c r="E204" s="3">
        <f>1/3</f>
        <v>0.33333333333333331</v>
      </c>
    </row>
    <row r="205" spans="1:5" x14ac:dyDescent="0.35">
      <c r="A205" s="4">
        <v>45161</v>
      </c>
      <c r="B205" s="3">
        <v>51</v>
      </c>
      <c r="D205" s="1">
        <v>45273</v>
      </c>
      <c r="E205" s="3">
        <v>1</v>
      </c>
    </row>
    <row r="206" spans="1:5" x14ac:dyDescent="0.35">
      <c r="A206" s="4">
        <v>45175</v>
      </c>
      <c r="B206" s="3">
        <v>2420</v>
      </c>
      <c r="D206" s="1">
        <v>45301</v>
      </c>
      <c r="E206" s="3">
        <f>1/3</f>
        <v>0.33333333333333331</v>
      </c>
    </row>
    <row r="207" spans="1:5" x14ac:dyDescent="0.35">
      <c r="A207" s="4">
        <v>45189</v>
      </c>
      <c r="B207" s="3">
        <v>12033</v>
      </c>
      <c r="D207" s="1">
        <v>45314</v>
      </c>
      <c r="E207" s="3">
        <v>22</v>
      </c>
    </row>
    <row r="208" spans="1:5" x14ac:dyDescent="0.35">
      <c r="A208" s="4">
        <v>45217</v>
      </c>
      <c r="B208" s="3">
        <f>1/3</f>
        <v>0.33333333333333331</v>
      </c>
      <c r="D208" s="1">
        <v>45332</v>
      </c>
      <c r="E208" s="3">
        <v>10</v>
      </c>
    </row>
    <row r="209" spans="1:5" x14ac:dyDescent="0.35">
      <c r="A209" s="4">
        <v>45231</v>
      </c>
      <c r="B209" s="3">
        <v>120</v>
      </c>
      <c r="D209" s="1">
        <v>45344</v>
      </c>
      <c r="E209" s="3">
        <v>517</v>
      </c>
    </row>
    <row r="210" spans="1:5" x14ac:dyDescent="0.35">
      <c r="A210" s="4">
        <v>45245</v>
      </c>
      <c r="B210" s="3">
        <v>4</v>
      </c>
      <c r="D210" s="1">
        <v>45427</v>
      </c>
      <c r="E210" s="3">
        <f>1/3</f>
        <v>0.33333333333333331</v>
      </c>
    </row>
    <row r="211" spans="1:5" x14ac:dyDescent="0.35">
      <c r="A211" s="4">
        <v>45259</v>
      </c>
      <c r="B211" s="3">
        <v>4</v>
      </c>
      <c r="D211" s="1">
        <v>45469</v>
      </c>
      <c r="E211" s="3">
        <v>127</v>
      </c>
    </row>
    <row r="212" spans="1:5" x14ac:dyDescent="0.35">
      <c r="A212" s="4">
        <v>45300</v>
      </c>
      <c r="B212" s="3">
        <v>1</v>
      </c>
      <c r="D212" s="1">
        <v>45539</v>
      </c>
      <c r="E212" s="3">
        <v>75</v>
      </c>
    </row>
    <row r="213" spans="1:5" x14ac:dyDescent="0.35">
      <c r="A213" s="4">
        <v>45314</v>
      </c>
      <c r="B213" s="3">
        <v>2</v>
      </c>
      <c r="D213" s="1">
        <v>45553</v>
      </c>
      <c r="E213" s="3">
        <v>30</v>
      </c>
    </row>
    <row r="214" spans="1:5" x14ac:dyDescent="0.35">
      <c r="A214" s="4">
        <v>45329</v>
      </c>
      <c r="B214" s="3">
        <v>85</v>
      </c>
      <c r="D214" s="1">
        <v>45567</v>
      </c>
      <c r="E214" s="3">
        <v>31</v>
      </c>
    </row>
    <row r="215" spans="1:5" x14ac:dyDescent="0.35">
      <c r="A215" s="4">
        <v>45343</v>
      </c>
      <c r="B215" s="3">
        <v>2098</v>
      </c>
      <c r="D215" s="1">
        <v>45574</v>
      </c>
      <c r="E215" s="3">
        <f>10/3</f>
        <v>3.3333333333333335</v>
      </c>
    </row>
    <row r="216" spans="1:5" x14ac:dyDescent="0.35">
      <c r="A216" s="4">
        <v>45512</v>
      </c>
      <c r="B216" s="3">
        <v>7701</v>
      </c>
      <c r="D216" s="1">
        <v>45581</v>
      </c>
      <c r="E216" s="3">
        <f>10/3</f>
        <v>3.3333333333333335</v>
      </c>
    </row>
    <row r="217" spans="1:5" x14ac:dyDescent="0.35">
      <c r="A217" s="4">
        <v>45596</v>
      </c>
      <c r="B217" s="3">
        <v>1</v>
      </c>
    </row>
  </sheetData>
  <mergeCells count="3">
    <mergeCell ref="A3:B3"/>
    <mergeCell ref="D3:E3"/>
    <mergeCell ref="A1:E2"/>
  </mergeCells>
  <dataValidations count="1">
    <dataValidation type="decimal" operator="greaterThan" showErrorMessage="1" errorTitle="Measurement Value" error="Only enter values larger than 0. If measurement value equals 0, substitute with 0.333333333." sqref="B157:B217 B143:B155 B96:B115 B130:B140 B4:B94 E4:E98 E153 E135:E136 E141 E113:E126 E128:E132 E149 E156 E161:E216" xr:uid="{00000000-0002-0000-0000-000000000000}">
      <formula1>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C6DA0767-3F48-474E-B7C4-3B20378F2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f795c-2367-4fd5-ad97-2ce55b22a6a2"/>
    <ds:schemaRef ds:uri="a6e05537-0fbd-41cd-bda1-7142d082d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272B5-DC23-4B1D-A1F7-F6E3211835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86CD6-798C-45B3-BEFA-BEE9FF1C9E52}">
  <ds:schemaRefs>
    <ds:schemaRef ds:uri="http://schemas.microsoft.com/office/2006/metadata/properties"/>
    <ds:schemaRef ds:uri="http://schemas.microsoft.com/office/infopath/2007/PartnerControls"/>
    <ds:schemaRef ds:uri="34cf795c-2367-4fd5-ad97-2ce55b22a6a2"/>
    <ds:schemaRef ds:uri="a6e05537-0fbd-41cd-bda1-7142d082d7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Grootboom</dc:creator>
  <cp:lastModifiedBy>Francois van Schalkwyk</cp:lastModifiedBy>
  <dcterms:created xsi:type="dcterms:W3CDTF">2024-11-28T09:31:55Z</dcterms:created>
  <dcterms:modified xsi:type="dcterms:W3CDTF">2024-11-29T11:55:57Z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0x010100786B6E73BE1E40468A7DDCC534874A78</vt:lpwstr>
  </property>
  <property fmtid="{D5CDD505-2E9C-101B-9397-08002B2CF9AE}" pid="3" name="MediaServiceImageTags">
    <vt:lpwstr/>
  </property>
</Properties>
</file>