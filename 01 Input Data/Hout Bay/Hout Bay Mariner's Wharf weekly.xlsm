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finityenviro.sharepoint.com/sites/Projects/Shared Documents/190-56 Coastal WQ/02_Working Directory/01 Input Data/From CCT/"/>
    </mc:Choice>
  </mc:AlternateContent>
  <xr:revisionPtr revIDLastSave="0" documentId="11_825AB4ED7B219182295343486243A86E38E8581F" xr6:coauthVersionLast="47" xr6:coauthVersionMax="47" xr10:uidLastSave="{00000000-0000-0000-0000-000000000000}"/>
  <bookViews>
    <workbookView xWindow="-165" yWindow="-16365" windowWidth="29130" windowHeight="15810" activeTab="2" xr2:uid="{00000000-000D-0000-FFFF-FFFF00000000}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coli'!$A$1:$B$155</definedName>
    <definedName name="_xlnm._FilterDatabase" localSheetId="2" hidden="1">'Faecal streptococci'!$A$1:$B$15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<sst xmlns="http://schemas.openxmlformats.org/spreadsheetml/2006/main" count="63" uniqueCount="25">
  <si>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</si>
  <si>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</si>
  <si>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</si>
  <si>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</si>
  <si>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</si>
  <si>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</si>
  <si>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</si>
  <si>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</si>
  <si>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</si>
  <si>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</si>
  <si>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</si>
  <si>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</si>
  <si>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</si>
  <si>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</si>
  <si>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</si>
  <si>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</si>
  <si>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</si>
  <si>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Clifton and Camps Bay</t>
  </si>
  <si>
    <t>Excellent</t>
  </si>
  <si>
    <t>Not Enough Data</t>
  </si>
  <si>
    <t>Hout Bay Mariner's Wharf</t>
  </si>
  <si>
    <t>0/-</t>
  </si>
  <si>
    <t>193/-</t>
  </si>
  <si>
    <t>Good</t>
  </si>
  <si>
    <t>143/-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</si>
</sst>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.000"/>
    <numFmt numFmtId="166" formatCode="[$-F800]dddd\,/mmmm/dd\,/yyyy"/>
  </numFmts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89078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0" borderId="0"/>
    <xf numFmtId="0" fontId="6" fillId="0" borderId="0"/>
  </cellStyleXfs>
  <cellXfs count="48">
    <xf numFmtId="0" fontId="0" fillId="0" borderId="0" xfId="0"/>
    <xf numFmtId="0" fontId="2" fillId="0" borderId="0" xfId="0" applyFont="1"/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center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6" xfId="0" applyFill="1" applyBorder="1" applyProtection="1">
      <protection locked="0"/>
    </xf>
    <xf numFmtId="0" fontId="2" fillId="0" borderId="5" xfId="0" applyFont="1" applyBorder="1"/>
    <xf numFmtId="14" fontId="0" fillId="4" borderId="0" xfId="0" applyNumberForma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wrapText="1"/>
      <protection locked="0"/>
    </xf>
    <xf numFmtId="0" fontId="2" fillId="0" borderId="0" xfId="0" applyFont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8" fillId="0" borderId="0" xfId="0" applyFont="1"/>
    <xf numFmtId="164" fontId="0" fillId="5" borderId="0" xfId="0" applyNumberFormat="1" applyFill="1" applyAlignment="1">
      <alignment horizontal="left"/>
    </xf>
    <xf numFmtId="0" fontId="0" fillId="4" borderId="0" xfId="0" applyFill="1"/>
    <xf numFmtId="164" fontId="2" fillId="0" borderId="0" xfId="0" applyNumberFormat="1" applyFont="1" applyAlignment="1">
      <alignment horizontal="left"/>
    </xf>
    <xf numFmtId="164" fontId="0" fillId="0" borderId="0" xfId="0" applyNumberFormat="1"/>
    <xf numFmtId="15" fontId="0" fillId="0" borderId="0" xfId="0" applyNumberFormat="1" applyAlignment="1">
      <alignment horizontal="center"/>
    </xf>
    <xf numFmtId="15" fontId="0" fillId="0" borderId="0" xfId="0" applyNumberFormat="1"/>
    <xf numFmtId="1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Normal" xfId="0" builtinId="0"/>
    <cellStyle name="Normal 2" xfId="2" xr:uid="{00000000-0005-0000-0000-000002000000}"/>
    <cellStyle name="Normal 3" xfId="3" xr:uid="{00000000-0005-0000-0000-000003000000}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101600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2"/>
  <dimension ref="A1:M100"/>
  <sheetViews>
    <sheetView topLeftCell="C1" zoomScaleNormal="100" workbookViewId="0">
      <selection activeCell="F19" sqref="F19"/>
    </sheetView>
  </sheetViews>
  <sheetFormatPr defaultRowHeight="14.5" x14ac:dyDescent="0.35"/>
  <cols>
    <col min="1" max="1" width="1.36328125" customWidth="1"/>
    <col min="2" max="2" width="2.6328125" customWidth="1"/>
    <col min="3" max="3" width="19.6328125" customWidth="1"/>
    <col min="4" max="4" width="19.36328125" customWidth="1"/>
    <col min="5" max="5" width="9.6328125" customWidth="1"/>
    <col min="6" max="6" width="18" bestFit="1" customWidth="1"/>
    <col min="7" max="7" width="9.6328125" customWidth="1"/>
    <col min="8" max="10" width="11.54296875" customWidth="1"/>
    <col min="11" max="11" width="9.54296875" bestFit="1" customWidth="1"/>
  </cols>
  <sheetData>
    <row r="1" spans="1:10" s="2" customFormat="1" ht="7.5" customHeight="1" x14ac:dyDescent="0.35">
      <c r="A1" s="5"/>
      <c r="B1" s="5"/>
      <c r="C1" s="6"/>
      <c r="D1" s="5"/>
      <c r="E1" s="5"/>
      <c r="F1" s="5"/>
      <c r="G1" s="5"/>
      <c r="H1" s="5"/>
    </row>
    <row r="2" spans="1:10" s="2" customFormat="1" x14ac:dyDescent="0.35">
      <c r="A2" s="5"/>
      <c r="B2" s="5"/>
      <c r="C2" s="6"/>
      <c r="D2" s="5"/>
      <c r="E2" s="5"/>
      <c r="F2" s="5"/>
      <c r="G2" s="5"/>
      <c r="H2" s="5"/>
    </row>
    <row r="3" spans="1:10" s="2" customFormat="1" ht="15" customHeight="1" x14ac:dyDescent="0.35">
      <c r="A3" s="5"/>
      <c r="B3" s="5"/>
      <c r="C3" s="46" t="s">
        <v>20</v>
      </c>
      <c r="D3" s="46"/>
      <c r="E3" s="46"/>
      <c r="F3" s="5"/>
      <c r="G3" s="5"/>
      <c r="H3" s="5"/>
    </row>
    <row r="4" spans="1:10" s="2" customFormat="1" ht="15" customHeight="1" x14ac:dyDescent="0.35">
      <c r="A4" s="5"/>
      <c r="B4" s="5"/>
      <c r="C4" s="46"/>
      <c r="D4" s="46"/>
      <c r="E4" s="46"/>
      <c r="F4" s="5"/>
      <c r="G4" s="5"/>
      <c r="H4" s="5"/>
    </row>
    <row r="5" spans="1:10" s="2" customFormat="1" ht="8.25" customHeight="1" x14ac:dyDescent="0.65">
      <c r="A5" s="5"/>
      <c r="B5" s="5"/>
      <c r="C5" s="12"/>
      <c r="D5" s="12"/>
      <c r="E5" s="12"/>
      <c r="F5" s="5"/>
      <c r="G5" s="5"/>
      <c r="H5" s="5"/>
    </row>
    <row r="6" spans="1:10" s="2" customFormat="1" ht="15" customHeight="1" x14ac:dyDescent="0.35">
      <c r="A6" s="5"/>
      <c r="B6" s="5"/>
      <c r="C6" s="4" t="s">
        <v>15</v>
      </c>
      <c r="D6" s="47" t="s">
        <v>17</v>
      </c>
      <c r="E6" s="47"/>
      <c r="F6" s="5"/>
      <c r="G6" s="5"/>
      <c r="H6" s="5"/>
    </row>
    <row r="7" spans="1:10" s="2" customFormat="1" ht="15" customHeight="1" x14ac:dyDescent="0.35">
      <c r="A7" s="5"/>
      <c r="B7" s="5"/>
      <c r="C7" s="4" t="s">
        <v>8</v>
      </c>
      <c r="D7" s="47"/>
      <c r="E7" s="47"/>
      <c r="F7" s="5"/>
      <c r="G7" s="5"/>
      <c r="H7" s="5"/>
    </row>
    <row r="8" spans="1:10" s="2" customFormat="1" ht="15" customHeight="1" x14ac:dyDescent="0.35">
      <c r="A8" s="5"/>
      <c r="B8" s="5"/>
      <c r="C8" s="4" t="s">
        <v>9</v>
      </c>
      <c r="D8" s="47"/>
      <c r="E8" s="47"/>
      <c r="F8" s="5"/>
      <c r="G8" s="5"/>
      <c r="H8" s="5"/>
    </row>
    <row r="9" spans="1:10" s="2" customFormat="1" ht="15" customHeight="1" x14ac:dyDescent="0.35">
      <c r="A9" s="5"/>
      <c r="B9" s="5"/>
      <c r="C9" s="4" t="s">
        <v>3</v>
      </c>
      <c r="D9" s="47">
        <v>12</v>
      </c>
      <c r="E9" s="47"/>
      <c r="F9" s="5"/>
      <c r="G9" s="5"/>
      <c r="H9" s="5"/>
    </row>
    <row r="10" spans="1:10" s="2" customFormat="1" ht="7.5" customHeight="1" x14ac:dyDescent="0.35">
      <c r="A10" s="5"/>
      <c r="B10" s="5"/>
      <c r="C10" s="9"/>
      <c r="D10" s="5"/>
      <c r="E10" s="5"/>
      <c r="F10" s="5"/>
      <c r="G10" s="5"/>
      <c r="H10" s="5"/>
    </row>
    <row r="11" spans="1:10" s="2" customFormat="1" ht="15" customHeight="1" x14ac:dyDescent="0.35">
      <c r="A11" s="5"/>
      <c r="B11" s="21"/>
      <c r="C11" s="4" t="s">
        <v>10</v>
      </c>
      <c r="D11" s="44">
        <f ca="1">TODAY()</f>
        <v>45625</v>
      </c>
      <c r="E11" s="44"/>
      <c r="F11" s="5"/>
      <c r="G11" s="5"/>
      <c r="H11" s="5"/>
    </row>
    <row r="12" spans="1:10" s="2" customFormat="1" ht="15" customHeight="1" x14ac:dyDescent="0.35">
      <c r="A12" s="5"/>
      <c r="B12" s="5"/>
      <c r="C12" s="4" t="s">
        <v>13</v>
      </c>
      <c r="D12" s="44">
        <f>MAX(MAX('Escherichia coli'!A:A),MAX('Faecal streptococci'!A:A))</f>
        <v>45621</v>
      </c>
      <c r="E12" s="44"/>
      <c r="F12" s="7"/>
      <c r="G12" s="5"/>
      <c r="H12" s="5"/>
    </row>
    <row r="13" spans="1:10" s="2" customFormat="1" ht="15" customHeight="1" x14ac:dyDescent="0.35">
      <c r="A13" s="5"/>
      <c r="B13" s="5"/>
      <c r="C13" s="4" t="s">
        <v>4</v>
      </c>
      <c r="D13" s="45">
        <f ca="1">YEAR(D11)+(MONTH(D11)&gt;=D9)</f>
        <v>2024</v>
      </c>
      <c r="E13" s="45"/>
      <c r="F13" s="8"/>
      <c r="G13" s="5"/>
      <c r="H13" s="5"/>
    </row>
    <row r="14" spans="1:10" s="2" customFormat="1" x14ac:dyDescent="0.35">
      <c r="A14" s="5"/>
      <c r="B14" s="5"/>
      <c r="C14" s="4" t="s">
        <v>11</v>
      </c>
      <c r="D14" s="44" t="str">
        <f ca="1">CONCATENATE(TEXT(DATE(D13-1,D9,1), "yyyy/mm/dd")," - ",TEXT(D11,"yyyy/mm/dd"))</f>
        <v>2023/12/01 - 2024/11/29</v>
      </c>
      <c r="E14" s="44"/>
      <c r="F14" s="19"/>
      <c r="G14" s="5"/>
      <c r="H14" s="5"/>
    </row>
    <row r="15" spans="1:10" s="2" customFormat="1" x14ac:dyDescent="0.35">
      <c r="A15" s="5"/>
      <c r="B15" s="5"/>
      <c r="C15" s="4" t="s">
        <v>12</v>
      </c>
      <c r="D15" s="44" t="str">
        <f ca="1">CONCATENATE(TEXT(DATE(D13-5,D9,1), "yyyy/mm/dd")," - ",TEXT(D11,"yyyy/mm/dd"))</f>
        <v>2019/12/01 - 2024/11/29</v>
      </c>
      <c r="E15" s="44"/>
      <c r="F15" s="19"/>
      <c r="G15" s="5"/>
      <c r="H15" s="5"/>
    </row>
    <row r="16" spans="1:10" s="2" customFormat="1" x14ac:dyDescent="0.35">
      <c r="A16" s="5"/>
      <c r="B16" s="5"/>
      <c r="C16" s="6"/>
      <c r="D16" s="5"/>
      <c r="E16" s="5"/>
      <c r="F16" s="6"/>
      <c r="G16" s="6"/>
      <c r="H16" s="6"/>
      <c r="I16" s="22"/>
      <c r="J16" s="23"/>
    </row>
    <row r="17" spans="1:13" s="2" customFormat="1" x14ac:dyDescent="0.35">
      <c r="A17" s="5"/>
      <c r="B17" s="5"/>
      <c r="C17" s="11"/>
      <c r="D17" s="1" t="s">
        <v>6</v>
      </c>
      <c r="E17" s="25" t="s">
        <v>14</v>
      </c>
      <c r="F17" s="18" t="s">
        <v>7</v>
      </c>
      <c r="G17" s="25" t="s">
        <v>14</v>
      </c>
      <c r="H17" s="6"/>
      <c r="I17" s="22"/>
      <c r="J17" s="22"/>
    </row>
    <row r="18" spans="1:13" s="2" customFormat="1" x14ac:dyDescent="0.35">
      <c r="A18" s="5"/>
      <c r="B18" s="5"/>
      <c r="C18" s="9" t="str">
        <f ca="1">CONCATENATE(D13," to date")</f>
        <v>2024 to date</v>
      </c>
      <c r="D18" s="17" t="s">
        <v>18</v>
      </c>
      <c r="E18" s="16" t="s">
        <v>21</v>
      </c>
      <c r="F18" s="13" t="s">
        <v>23</v>
      </c>
      <c r="G18" s="16" t="s">
        <v>22</v>
      </c>
      <c r="H18" s="10"/>
      <c r="I18" s="3"/>
    </row>
    <row r="19" spans="1:13" s="2" customFormat="1" x14ac:dyDescent="0.35">
      <c r="A19" s="5"/>
      <c r="B19" s="5"/>
      <c r="C19" s="9" t="str">
        <f ca="1">CONCATENATE(D13-5," - ",D13)</f>
        <v>2019 - 2024</v>
      </c>
      <c r="D19" s="13" t="s">
        <v>18</v>
      </c>
      <c r="E19" s="24" t="s">
        <v>21</v>
      </c>
      <c r="F19" s="13" t="s">
        <v>23</v>
      </c>
      <c r="G19" s="24" t="s">
        <v>22</v>
      </c>
      <c r="H19" s="10"/>
      <c r="I19" s="20"/>
      <c r="J19" s="3"/>
      <c r="K19" s="3"/>
      <c r="L19" s="3"/>
      <c r="M19" s="3"/>
    </row>
    <row r="20" spans="1:13" s="2" customFormat="1" x14ac:dyDescent="0.35">
      <c r="A20" s="5"/>
      <c r="B20" s="5"/>
      <c r="C20" s="9" t="s">
        <v>16</v>
      </c>
      <c r="D20" s="13" t="s">
        <v>18</v>
      </c>
      <c r="E20" s="24" t="s">
        <v>21</v>
      </c>
      <c r="F20" s="13" t="s">
        <v>23</v>
      </c>
      <c r="G20" s="24" t="s">
        <v>22</v>
      </c>
      <c r="H20" s="10"/>
      <c r="I20" s="3"/>
      <c r="J20" s="3"/>
      <c r="K20" s="3"/>
      <c r="L20" s="3"/>
      <c r="M20" s="3"/>
    </row>
    <row r="21" spans="1:13" s="2" customFormat="1" x14ac:dyDescent="0.35">
      <c r="A21" s="5"/>
      <c r="B21" s="5"/>
      <c r="C21" s="9" t="s">
        <v>5</v>
      </c>
      <c r="D21" s="13" t="s">
        <v>18</v>
      </c>
      <c r="E21" s="24" t="s">
        <v>21</v>
      </c>
      <c r="F21" s="13" t="s">
        <v>23</v>
      </c>
      <c r="G21" s="24" t="s">
        <v>24</v>
      </c>
      <c r="H21" s="10"/>
      <c r="I21" s="3"/>
      <c r="J21" s="3"/>
      <c r="K21" s="3"/>
      <c r="L21" s="3"/>
      <c r="M21" s="3"/>
    </row>
    <row r="22" spans="1:13" s="2" customFormat="1" x14ac:dyDescent="0.35">
      <c r="A22" s="5"/>
      <c r="B22" s="5"/>
      <c r="C22" s="30">
        <v>2024</v>
      </c>
      <c r="D22" s="5" t="s">
        <v>18</v>
      </c>
      <c r="E22" s="24" t="s">
        <v>21</v>
      </c>
      <c r="F22" s="13" t="s">
        <v>23</v>
      </c>
      <c r="G22" s="24" t="s">
        <v>22</v>
      </c>
      <c r="H22" s="10"/>
      <c r="I22" s="3"/>
      <c r="J22" s="3"/>
      <c r="K22" s="3"/>
      <c r="L22" s="3"/>
      <c r="M22" s="3"/>
    </row>
    <row r="23" spans="1:13" s="2" customFormat="1" x14ac:dyDescent="0.35">
      <c r="A23" s="5"/>
      <c r="B23" s="5"/>
      <c r="C23" s="11">
        <v>2024</v>
      </c>
      <c r="D23" s="5" t="s">
        <v>18</v>
      </c>
      <c r="E23" s="24" t="s">
        <v>21</v>
      </c>
      <c r="F23" s="13" t="s">
        <v>23</v>
      </c>
      <c r="G23" s="24" t="s">
        <v>22</v>
      </c>
      <c r="H23" s="10"/>
      <c r="I23" s="3"/>
      <c r="J23" s="3"/>
      <c r="K23" s="3"/>
      <c r="L23" s="3"/>
      <c r="M23" s="3"/>
    </row>
    <row r="24" spans="1:13" s="2" customFormat="1" x14ac:dyDescent="0.35">
      <c r="A24" s="5"/>
      <c r="B24" s="5"/>
      <c r="C24" s="11">
        <v>2022</v>
      </c>
      <c r="D24" s="5" t="s">
        <v>19</v>
      </c>
      <c r="E24" s="24"/>
      <c r="F24" s="13" t="s">
        <v>19</v>
      </c>
      <c r="G24" s="24"/>
      <c r="H24" s="10"/>
      <c r="I24" s="3"/>
      <c r="J24" s="3"/>
      <c r="K24" s="3"/>
      <c r="L24" s="3"/>
      <c r="M24" s="3"/>
    </row>
    <row r="25" spans="1:13" s="2" customFormat="1" x14ac:dyDescent="0.35">
      <c r="A25" s="5"/>
      <c r="B25" s="5"/>
      <c r="C25" s="11">
        <v>2021</v>
      </c>
      <c r="D25" s="5" t="s">
        <v>19</v>
      </c>
      <c r="E25" s="24"/>
      <c r="F25" s="13" t="s">
        <v>19</v>
      </c>
      <c r="G25" s="24"/>
      <c r="H25" s="10"/>
      <c r="I25" s="3"/>
      <c r="J25" s="3"/>
      <c r="K25" s="3"/>
      <c r="L25" s="3"/>
      <c r="M25" s="3"/>
    </row>
    <row r="26" spans="1:13" s="2" customFormat="1" x14ac:dyDescent="0.35">
      <c r="A26" s="5"/>
      <c r="B26" s="5"/>
      <c r="C26" s="11">
        <v>2020</v>
      </c>
      <c r="D26" s="2" t="s">
        <v>19</v>
      </c>
      <c r="E26" s="16"/>
      <c r="F26" s="14" t="s">
        <v>19</v>
      </c>
      <c r="G26" s="16"/>
      <c r="H26" s="10"/>
      <c r="I26" s="3"/>
      <c r="J26" s="3"/>
    </row>
    <row r="27" spans="1:13" s="2" customFormat="1" x14ac:dyDescent="0.35">
      <c r="A27" s="5"/>
      <c r="B27" s="5"/>
      <c r="C27" s="6">
        <v>2019</v>
      </c>
      <c r="D27" s="13" t="s">
        <v>19</v>
      </c>
      <c r="E27" s="5"/>
      <c r="F27" s="15" t="s">
        <v>19</v>
      </c>
      <c r="G27" s="10"/>
      <c r="H27" s="10"/>
      <c r="I27" s="3"/>
      <c r="J27" s="3"/>
    </row>
    <row r="28" spans="1:13" s="2" customFormat="1" x14ac:dyDescent="0.35">
      <c r="A28" s="5"/>
      <c r="B28" s="5"/>
      <c r="C28" s="6">
        <v>2018</v>
      </c>
      <c r="D28" s="13" t="s">
        <v>19</v>
      </c>
      <c r="E28" s="5"/>
      <c r="F28" s="15" t="s">
        <v>19</v>
      </c>
      <c r="G28" s="10"/>
      <c r="H28" s="10"/>
      <c r="I28" s="3"/>
      <c r="J28" s="3"/>
    </row>
    <row r="29" spans="1:13" s="2" customFormat="1" x14ac:dyDescent="0.35">
      <c r="A29" s="5"/>
      <c r="B29" s="5"/>
      <c r="C29" s="5">
        <v>2017</v>
      </c>
      <c r="D29" s="13" t="s">
        <v>19</v>
      </c>
      <c r="E29" s="5"/>
      <c r="F29" s="15" t="s">
        <v>19</v>
      </c>
      <c r="G29" s="10"/>
      <c r="H29" s="10"/>
      <c r="I29" s="3"/>
      <c r="J29" s="3"/>
    </row>
    <row r="30" spans="1:13" s="2" customFormat="1" x14ac:dyDescent="0.35">
      <c r="A30" s="5"/>
      <c r="B30" s="5"/>
      <c r="C30" s="5">
        <v>2016</v>
      </c>
      <c r="D30" s="13" t="s">
        <v>19</v>
      </c>
      <c r="E30" s="5"/>
      <c r="F30" s="15" t="s">
        <v>19</v>
      </c>
      <c r="G30" s="10"/>
      <c r="H30" s="10"/>
      <c r="I30" s="3"/>
      <c r="J30" s="3"/>
    </row>
    <row r="31" spans="1:13" s="2" customFormat="1" x14ac:dyDescent="0.35">
      <c r="A31" s="5"/>
      <c r="B31" s="5"/>
      <c r="C31" s="5">
        <v>2015</v>
      </c>
      <c r="D31" s="13" t="s">
        <v>19</v>
      </c>
      <c r="E31" s="5"/>
      <c r="F31" s="15" t="s">
        <v>19</v>
      </c>
      <c r="G31" s="10"/>
      <c r="H31" s="10"/>
      <c r="I31" s="3"/>
      <c r="J31" s="3"/>
    </row>
    <row r="32" spans="1:13" s="2" customFormat="1" x14ac:dyDescent="0.35">
      <c r="A32" s="5"/>
      <c r="B32" s="5"/>
      <c r="C32" s="5">
        <v>2014</v>
      </c>
      <c r="D32" s="13" t="s">
        <v>19</v>
      </c>
      <c r="E32" s="5"/>
      <c r="F32" s="15" t="s">
        <v>19</v>
      </c>
      <c r="G32" s="10"/>
      <c r="H32" s="10"/>
      <c r="I32" s="3"/>
      <c r="J32" s="3"/>
    </row>
    <row r="33" spans="1:10" s="2" customFormat="1" x14ac:dyDescent="0.35">
      <c r="A33" s="5"/>
      <c r="B33" s="5"/>
      <c r="C33" s="5"/>
      <c r="D33" s="13"/>
      <c r="E33" s="5"/>
      <c r="F33" s="15"/>
      <c r="G33" s="10"/>
      <c r="H33" s="10"/>
      <c r="I33" s="3"/>
      <c r="J33" s="3"/>
    </row>
    <row r="34" spans="1:10" s="2" customFormat="1" x14ac:dyDescent="0.35">
      <c r="A34" s="5"/>
      <c r="B34" s="5"/>
      <c r="C34" s="5"/>
      <c r="D34" s="13"/>
      <c r="E34" s="5"/>
      <c r="F34" s="15"/>
      <c r="G34" s="10"/>
      <c r="H34" s="10"/>
      <c r="I34" s="3"/>
      <c r="J34" s="3"/>
    </row>
    <row r="35" spans="1:10" s="2" customFormat="1" x14ac:dyDescent="0.35">
      <c r="A35" s="5"/>
      <c r="B35" s="5"/>
      <c r="C35" s="5"/>
      <c r="D35" s="13"/>
      <c r="E35" s="5"/>
      <c r="F35" s="15"/>
      <c r="G35" s="10"/>
      <c r="H35" s="10"/>
      <c r="I35" s="3"/>
      <c r="J35" s="3"/>
    </row>
    <row r="36" spans="1:10" s="2" customFormat="1" x14ac:dyDescent="0.35">
      <c r="A36" s="5"/>
      <c r="B36" s="5"/>
      <c r="C36" s="5"/>
      <c r="D36" s="13"/>
      <c r="E36" s="5"/>
      <c r="F36" s="15"/>
      <c r="G36" s="10"/>
      <c r="H36" s="10"/>
      <c r="I36" s="3"/>
      <c r="J36" s="3"/>
    </row>
    <row r="37" spans="1:10" s="2" customFormat="1" x14ac:dyDescent="0.35">
      <c r="A37" s="5"/>
      <c r="B37" s="5"/>
      <c r="C37" s="5"/>
      <c r="D37" s="13"/>
      <c r="E37" s="5"/>
      <c r="F37" s="15"/>
      <c r="G37" s="10"/>
      <c r="H37" s="10"/>
      <c r="I37" s="3"/>
      <c r="J37" s="3"/>
    </row>
    <row r="38" spans="1:10" s="2" customFormat="1" x14ac:dyDescent="0.35">
      <c r="A38" s="5"/>
      <c r="B38" s="5"/>
      <c r="C38" s="5"/>
      <c r="D38" s="13"/>
      <c r="E38" s="5"/>
      <c r="F38" s="15"/>
      <c r="G38" s="10"/>
      <c r="H38" s="10"/>
      <c r="I38" s="3"/>
      <c r="J38" s="3"/>
    </row>
    <row r="39" spans="1:10" s="2" customFormat="1" x14ac:dyDescent="0.35">
      <c r="A39" s="5"/>
      <c r="B39" s="5"/>
      <c r="C39" s="5"/>
      <c r="D39" s="13"/>
      <c r="E39" s="5"/>
      <c r="F39" s="15"/>
      <c r="G39" s="10"/>
      <c r="H39" s="10"/>
      <c r="I39" s="3"/>
      <c r="J39" s="3"/>
    </row>
    <row r="40" spans="1:10" s="2" customFormat="1" x14ac:dyDescent="0.35">
      <c r="A40" s="5"/>
      <c r="B40" s="5"/>
      <c r="C40" s="5"/>
      <c r="D40" s="13"/>
      <c r="E40" s="5"/>
      <c r="F40" s="15"/>
      <c r="G40" s="10"/>
      <c r="H40" s="10"/>
      <c r="I40" s="3"/>
      <c r="J40" s="3"/>
    </row>
    <row r="41" spans="1:10" s="2" customFormat="1" x14ac:dyDescent="0.35">
      <c r="A41" s="5"/>
      <c r="B41" s="5"/>
      <c r="C41" s="5"/>
      <c r="D41" s="13"/>
      <c r="E41" s="5"/>
      <c r="F41" s="15"/>
      <c r="G41" s="10"/>
      <c r="H41" s="10"/>
      <c r="I41" s="3"/>
      <c r="J41" s="3"/>
    </row>
    <row r="42" spans="1:10" s="2" customFormat="1" x14ac:dyDescent="0.35">
      <c r="A42" s="5"/>
      <c r="B42" s="5"/>
      <c r="C42" s="5"/>
      <c r="D42" s="13"/>
      <c r="E42" s="5"/>
      <c r="F42" s="15"/>
      <c r="G42" s="10"/>
      <c r="H42" s="10"/>
      <c r="I42" s="3"/>
      <c r="J42" s="3"/>
    </row>
    <row r="43" spans="1:10" s="2" customFormat="1" x14ac:dyDescent="0.35">
      <c r="A43" s="5"/>
      <c r="B43" s="5"/>
      <c r="C43" s="5"/>
      <c r="D43" s="13"/>
      <c r="E43" s="5"/>
      <c r="F43" s="15"/>
      <c r="G43" s="10"/>
      <c r="H43" s="10"/>
      <c r="I43" s="3"/>
      <c r="J43" s="3"/>
    </row>
    <row r="44" spans="1:10" s="2" customFormat="1" x14ac:dyDescent="0.35">
      <c r="A44" s="5"/>
      <c r="B44" s="5"/>
      <c r="C44" s="5"/>
      <c r="D44" s="13"/>
      <c r="E44" s="5"/>
      <c r="F44" s="15"/>
      <c r="G44" s="10"/>
      <c r="H44" s="10"/>
      <c r="I44" s="3"/>
      <c r="J44" s="3"/>
    </row>
    <row r="45" spans="1:10" s="2" customFormat="1" x14ac:dyDescent="0.35">
      <c r="A45" s="5"/>
      <c r="B45" s="5"/>
      <c r="C45" s="5"/>
      <c r="D45" s="13"/>
      <c r="E45" s="5"/>
      <c r="F45" s="13"/>
      <c r="G45" s="5"/>
      <c r="H45" s="5"/>
    </row>
    <row r="46" spans="1:10" s="2" customFormat="1" x14ac:dyDescent="0.35">
      <c r="A46" s="5"/>
      <c r="B46" s="5"/>
      <c r="C46" s="5"/>
      <c r="D46" s="13"/>
      <c r="E46" s="5"/>
      <c r="F46" s="13"/>
      <c r="G46" s="5"/>
      <c r="H46" s="5"/>
    </row>
    <row r="47" spans="1:10" s="2" customFormat="1" x14ac:dyDescent="0.35">
      <c r="A47" s="5"/>
      <c r="B47" s="5"/>
      <c r="C47" s="5"/>
      <c r="D47" s="13"/>
      <c r="E47" s="5"/>
      <c r="F47" s="13"/>
      <c r="G47" s="5"/>
      <c r="H47" s="5"/>
    </row>
    <row r="48" spans="1:10" s="2" customFormat="1" x14ac:dyDescent="0.35">
      <c r="A48" s="5"/>
      <c r="B48" s="5"/>
      <c r="C48" s="5"/>
      <c r="D48" s="13"/>
      <c r="E48" s="5"/>
      <c r="F48" s="13"/>
      <c r="G48" s="5"/>
      <c r="H48" s="5"/>
    </row>
    <row r="49" spans="1:8" s="2" customFormat="1" x14ac:dyDescent="0.35">
      <c r="A49" s="5"/>
      <c r="B49" s="5"/>
      <c r="C49" s="5"/>
      <c r="D49" s="13"/>
      <c r="E49" s="5"/>
      <c r="F49" s="13"/>
      <c r="G49" s="5"/>
      <c r="H49" s="5"/>
    </row>
    <row r="50" spans="1:8" s="2" customFormat="1" x14ac:dyDescent="0.35">
      <c r="A50" s="5"/>
      <c r="B50" s="5"/>
      <c r="C50" s="5"/>
      <c r="D50" s="13"/>
      <c r="E50" s="5"/>
      <c r="F50" s="13"/>
      <c r="G50" s="5"/>
      <c r="H50" s="5"/>
    </row>
    <row r="51" spans="1:8" s="2" customFormat="1" x14ac:dyDescent="0.35">
      <c r="A51" s="5"/>
      <c r="B51" s="5"/>
      <c r="C51" s="5"/>
      <c r="D51" s="13"/>
      <c r="E51" s="5"/>
      <c r="F51" s="13"/>
      <c r="G51" s="5"/>
      <c r="H51" s="5"/>
    </row>
    <row r="52" spans="1:8" s="2" customFormat="1" x14ac:dyDescent="0.35">
      <c r="A52" s="5"/>
      <c r="B52" s="5"/>
      <c r="C52" s="5"/>
      <c r="D52" s="13"/>
      <c r="E52" s="5"/>
      <c r="F52" s="13"/>
      <c r="G52" s="5"/>
      <c r="H52" s="5"/>
    </row>
    <row r="53" spans="1:8" s="2" customFormat="1" x14ac:dyDescent="0.35">
      <c r="A53" s="5"/>
      <c r="B53" s="5"/>
      <c r="C53" s="5"/>
      <c r="D53" s="13"/>
      <c r="E53" s="5"/>
      <c r="F53" s="13"/>
      <c r="G53" s="5"/>
      <c r="H53" s="5"/>
    </row>
    <row r="54" spans="1:8" s="2" customFormat="1" x14ac:dyDescent="0.35">
      <c r="A54" s="5"/>
      <c r="B54" s="5"/>
      <c r="C54" s="5"/>
      <c r="D54" s="13"/>
      <c r="E54" s="5"/>
      <c r="F54" s="13"/>
      <c r="G54" s="5"/>
      <c r="H54" s="5"/>
    </row>
    <row r="55" spans="1:8" s="2" customFormat="1" x14ac:dyDescent="0.35">
      <c r="A55" s="5"/>
      <c r="B55" s="5"/>
      <c r="C55" s="5"/>
      <c r="D55" s="13"/>
      <c r="E55" s="5"/>
      <c r="F55" s="13"/>
      <c r="G55" s="5"/>
      <c r="H55" s="5"/>
    </row>
    <row r="56" spans="1:8" s="2" customFormat="1" x14ac:dyDescent="0.35">
      <c r="A56" s="5"/>
      <c r="B56" s="5"/>
      <c r="C56" s="5"/>
      <c r="D56" s="13"/>
      <c r="E56" s="5"/>
      <c r="F56" s="13"/>
      <c r="G56" s="5"/>
      <c r="H56" s="5"/>
    </row>
    <row r="57" spans="1:8" s="2" customFormat="1" x14ac:dyDescent="0.35">
      <c r="A57" s="5"/>
      <c r="B57" s="5"/>
      <c r="C57" s="5"/>
      <c r="D57" s="13"/>
      <c r="E57" s="5"/>
      <c r="F57" s="13"/>
      <c r="G57" s="5"/>
      <c r="H57" s="5"/>
    </row>
    <row r="58" spans="1:8" s="2" customFormat="1" x14ac:dyDescent="0.35">
      <c r="A58" s="5"/>
      <c r="B58" s="5"/>
      <c r="C58" s="5"/>
      <c r="D58" s="13"/>
      <c r="E58" s="5"/>
      <c r="F58" s="13"/>
      <c r="G58" s="5"/>
      <c r="H58" s="5"/>
    </row>
    <row r="59" spans="1:8" s="2" customFormat="1" x14ac:dyDescent="0.35">
      <c r="A59" s="5"/>
      <c r="B59" s="5"/>
      <c r="C59" s="5"/>
      <c r="D59" s="13"/>
      <c r="E59" s="5"/>
      <c r="F59" s="13"/>
      <c r="G59" s="5"/>
      <c r="H59" s="5"/>
    </row>
    <row r="60" spans="1:8" s="2" customFormat="1" x14ac:dyDescent="0.35">
      <c r="A60" s="5"/>
      <c r="B60" s="5"/>
      <c r="C60" s="5"/>
      <c r="D60" s="13"/>
      <c r="E60" s="5"/>
      <c r="F60" s="13"/>
      <c r="G60" s="5"/>
      <c r="H60" s="5"/>
    </row>
    <row r="61" spans="1:8" s="2" customFormat="1" x14ac:dyDescent="0.35">
      <c r="A61" s="5"/>
      <c r="B61" s="5"/>
      <c r="C61" s="5"/>
      <c r="D61" s="13"/>
      <c r="E61" s="5"/>
      <c r="F61" s="13"/>
      <c r="G61" s="5"/>
      <c r="H61" s="5"/>
    </row>
    <row r="62" spans="1:8" s="2" customFormat="1" x14ac:dyDescent="0.35">
      <c r="A62" s="5"/>
      <c r="B62" s="5"/>
      <c r="C62" s="5"/>
      <c r="D62" s="13"/>
      <c r="E62" s="5"/>
      <c r="F62" s="13"/>
      <c r="G62" s="5"/>
      <c r="H62" s="5"/>
    </row>
    <row r="63" spans="1:8" s="2" customFormat="1" x14ac:dyDescent="0.35">
      <c r="A63" s="5"/>
      <c r="B63" s="5"/>
      <c r="C63" s="5"/>
      <c r="D63" s="13"/>
      <c r="E63" s="5"/>
      <c r="F63" s="13"/>
      <c r="G63" s="5"/>
      <c r="H63" s="5"/>
    </row>
    <row r="64" spans="1:8" s="2" customFormat="1" x14ac:dyDescent="0.35">
      <c r="A64" s="5"/>
      <c r="B64" s="5"/>
      <c r="C64" s="5"/>
      <c r="D64" s="13"/>
      <c r="E64" s="5"/>
      <c r="F64" s="13"/>
      <c r="G64" s="5"/>
      <c r="H64" s="5"/>
    </row>
    <row r="65" spans="1:8" s="2" customFormat="1" x14ac:dyDescent="0.35">
      <c r="A65" s="5"/>
      <c r="B65" s="5"/>
      <c r="C65" s="5"/>
      <c r="D65" s="13"/>
      <c r="E65" s="5"/>
      <c r="F65" s="13"/>
      <c r="G65" s="5"/>
      <c r="H65" s="5"/>
    </row>
    <row r="66" spans="1:8" s="2" customFormat="1" x14ac:dyDescent="0.35">
      <c r="A66" s="5"/>
      <c r="B66" s="5"/>
      <c r="C66" s="5"/>
      <c r="D66" s="13"/>
      <c r="E66" s="5"/>
      <c r="F66" s="13"/>
      <c r="G66" s="5"/>
      <c r="H66" s="5"/>
    </row>
    <row r="67" spans="1:8" s="2" customFormat="1" x14ac:dyDescent="0.35">
      <c r="A67" s="5"/>
      <c r="B67" s="5"/>
      <c r="C67" s="5"/>
      <c r="D67" s="13"/>
      <c r="E67" s="5"/>
      <c r="F67" s="13"/>
      <c r="G67" s="5"/>
      <c r="H67" s="5"/>
    </row>
    <row r="68" spans="1:8" s="2" customFormat="1" x14ac:dyDescent="0.35">
      <c r="A68" s="5"/>
      <c r="B68" s="5"/>
      <c r="C68" s="5"/>
      <c r="D68" s="13"/>
      <c r="E68" s="5"/>
      <c r="F68" s="13"/>
      <c r="G68" s="5"/>
      <c r="H68" s="5"/>
    </row>
    <row r="69" spans="1:8" s="2" customFormat="1" x14ac:dyDescent="0.35">
      <c r="A69" s="5"/>
      <c r="B69" s="5"/>
      <c r="C69" s="5"/>
      <c r="D69" s="13"/>
      <c r="E69" s="5"/>
      <c r="F69" s="13"/>
      <c r="G69" s="5"/>
      <c r="H69" s="5"/>
    </row>
    <row r="70" spans="1:8" s="2" customFormat="1" x14ac:dyDescent="0.35">
      <c r="A70" s="5"/>
      <c r="B70" s="5"/>
      <c r="C70" s="5"/>
      <c r="D70" s="13"/>
      <c r="E70" s="5"/>
      <c r="F70" s="13"/>
      <c r="G70" s="5"/>
      <c r="H70" s="5"/>
    </row>
    <row r="71" spans="1:8" s="2" customFormat="1" x14ac:dyDescent="0.35">
      <c r="A71" s="5"/>
      <c r="B71" s="5"/>
      <c r="C71" s="5"/>
      <c r="D71" s="13"/>
      <c r="E71" s="5"/>
      <c r="F71" s="13"/>
      <c r="G71" s="5"/>
      <c r="H71" s="5"/>
    </row>
    <row r="72" spans="1:8" s="2" customFormat="1" x14ac:dyDescent="0.35">
      <c r="A72" s="5"/>
      <c r="B72" s="5"/>
      <c r="C72" s="6"/>
      <c r="D72" s="13"/>
      <c r="E72" s="5"/>
      <c r="F72" s="13"/>
      <c r="G72" s="5"/>
      <c r="H72" s="5"/>
    </row>
    <row r="73" spans="1:8" s="2" customFormat="1" x14ac:dyDescent="0.35">
      <c r="A73" s="5"/>
      <c r="B73" s="5"/>
      <c r="C73" s="6"/>
      <c r="D73" s="13"/>
      <c r="E73" s="5"/>
      <c r="F73" s="13"/>
      <c r="G73" s="5"/>
      <c r="H73" s="5"/>
    </row>
    <row r="74" spans="1:8" s="2" customFormat="1" x14ac:dyDescent="0.35">
      <c r="A74" s="5"/>
      <c r="B74" s="5"/>
      <c r="C74" s="6"/>
      <c r="D74" s="13"/>
      <c r="E74" s="5"/>
      <c r="F74" s="13"/>
      <c r="G74" s="5"/>
      <c r="H74" s="5"/>
    </row>
    <row r="75" spans="1:8" s="2" customFormat="1" x14ac:dyDescent="0.35">
      <c r="A75" s="5"/>
      <c r="B75" s="5"/>
      <c r="C75" s="6"/>
      <c r="D75" s="13"/>
      <c r="E75" s="5"/>
      <c r="F75" s="13"/>
      <c r="G75" s="5"/>
      <c r="H75" s="5"/>
    </row>
    <row r="76" spans="1:8" s="2" customFormat="1" x14ac:dyDescent="0.35">
      <c r="A76" s="5"/>
      <c r="B76" s="5"/>
      <c r="C76" s="6"/>
      <c r="D76" s="13"/>
      <c r="E76" s="5"/>
      <c r="F76" s="13"/>
      <c r="G76" s="5"/>
      <c r="H76" s="5"/>
    </row>
    <row r="77" spans="1:8" s="2" customFormat="1" x14ac:dyDescent="0.35">
      <c r="A77" s="5"/>
      <c r="B77" s="5"/>
      <c r="C77" s="6"/>
      <c r="D77" s="13"/>
      <c r="E77" s="5"/>
      <c r="F77" s="13"/>
      <c r="G77" s="5"/>
      <c r="H77" s="5"/>
    </row>
    <row r="78" spans="1:8" s="2" customFormat="1" x14ac:dyDescent="0.35">
      <c r="A78" s="5"/>
      <c r="B78" s="5"/>
      <c r="C78" s="6"/>
      <c r="D78" s="13"/>
      <c r="E78" s="5"/>
      <c r="F78" s="13"/>
      <c r="G78" s="5"/>
      <c r="H78" s="5"/>
    </row>
    <row r="79" spans="1:8" s="2" customFormat="1" x14ac:dyDescent="0.35">
      <c r="A79" s="5"/>
      <c r="B79" s="5"/>
      <c r="C79" s="6"/>
      <c r="D79" s="13"/>
      <c r="E79" s="5"/>
      <c r="F79" s="13"/>
      <c r="G79" s="5"/>
      <c r="H79" s="5"/>
    </row>
    <row r="80" spans="1:8" s="2" customFormat="1" x14ac:dyDescent="0.35">
      <c r="A80" s="5"/>
      <c r="B80" s="5"/>
      <c r="C80" s="6"/>
      <c r="D80" s="13"/>
      <c r="E80" s="5"/>
      <c r="F80" s="13"/>
      <c r="G80" s="5"/>
      <c r="H80" s="5"/>
    </row>
    <row r="81" spans="1:8" s="2" customFormat="1" x14ac:dyDescent="0.35">
      <c r="A81" s="5"/>
      <c r="B81" s="5"/>
      <c r="C81" s="6"/>
      <c r="D81" s="13"/>
      <c r="E81" s="5"/>
      <c r="F81" s="13"/>
      <c r="G81" s="5"/>
      <c r="H81" s="5"/>
    </row>
    <row r="82" spans="1:8" s="2" customFormat="1" x14ac:dyDescent="0.35">
      <c r="A82" s="5"/>
      <c r="B82" s="5"/>
      <c r="C82" s="6"/>
      <c r="D82" s="13"/>
      <c r="E82" s="5"/>
      <c r="F82" s="13"/>
      <c r="G82" s="5"/>
      <c r="H82" s="5"/>
    </row>
    <row r="83" spans="1:8" s="2" customFormat="1" x14ac:dyDescent="0.35">
      <c r="A83" s="5"/>
      <c r="B83" s="5"/>
      <c r="C83" s="6"/>
      <c r="D83" s="13"/>
      <c r="E83" s="5"/>
      <c r="F83" s="13"/>
      <c r="G83" s="5"/>
      <c r="H83" s="5"/>
    </row>
    <row r="84" spans="1:8" s="2" customFormat="1" x14ac:dyDescent="0.35">
      <c r="A84" s="5"/>
      <c r="B84" s="5"/>
      <c r="C84" s="6"/>
      <c r="D84" s="13"/>
      <c r="E84" s="5"/>
      <c r="F84" s="13"/>
      <c r="G84" s="5"/>
      <c r="H84" s="5"/>
    </row>
    <row r="85" spans="1:8" s="2" customFormat="1" x14ac:dyDescent="0.35">
      <c r="A85" s="5"/>
      <c r="B85" s="5"/>
      <c r="C85" s="6"/>
      <c r="D85" s="13"/>
      <c r="E85" s="5"/>
      <c r="F85" s="13"/>
      <c r="G85" s="5"/>
      <c r="H85" s="5"/>
    </row>
    <row r="86" spans="1:8" s="2" customFormat="1" x14ac:dyDescent="0.35">
      <c r="A86" s="5"/>
      <c r="B86" s="5"/>
      <c r="C86" s="6"/>
      <c r="D86" s="13"/>
      <c r="E86" s="5"/>
      <c r="F86" s="13"/>
      <c r="G86" s="5"/>
      <c r="H86" s="5"/>
    </row>
    <row r="87" spans="1:8" s="2" customFormat="1" x14ac:dyDescent="0.35">
      <c r="A87" s="5"/>
      <c r="B87" s="5"/>
      <c r="C87" s="6"/>
      <c r="D87" s="13"/>
      <c r="E87" s="5"/>
      <c r="F87" s="13"/>
      <c r="G87" s="5"/>
      <c r="H87" s="5"/>
    </row>
    <row r="88" spans="1:8" s="2" customFormat="1" x14ac:dyDescent="0.35">
      <c r="A88" s="5"/>
      <c r="B88" s="5"/>
      <c r="C88" s="6"/>
      <c r="D88" s="13"/>
      <c r="E88" s="5"/>
      <c r="F88" s="13"/>
      <c r="G88" s="5"/>
      <c r="H88" s="5"/>
    </row>
    <row r="89" spans="1:8" s="2" customFormat="1" x14ac:dyDescent="0.35">
      <c r="A89" s="5"/>
      <c r="B89" s="5"/>
      <c r="C89" s="6"/>
      <c r="D89" s="13"/>
      <c r="E89" s="5"/>
      <c r="F89" s="13"/>
      <c r="G89" s="5"/>
      <c r="H89" s="5"/>
    </row>
    <row r="90" spans="1:8" s="2" customFormat="1" x14ac:dyDescent="0.35">
      <c r="A90" s="5"/>
      <c r="B90" s="5"/>
      <c r="C90" s="6"/>
      <c r="D90" s="13"/>
      <c r="E90" s="5"/>
      <c r="F90" s="13"/>
      <c r="G90" s="5"/>
      <c r="H90" s="5"/>
    </row>
    <row r="91" spans="1:8" s="2" customFormat="1" x14ac:dyDescent="0.35">
      <c r="A91" s="5"/>
      <c r="B91" s="5"/>
      <c r="C91" s="6"/>
      <c r="D91" s="13"/>
      <c r="E91" s="5"/>
      <c r="F91" s="13"/>
      <c r="G91" s="5"/>
      <c r="H91" s="5"/>
    </row>
    <row r="92" spans="1:8" s="2" customFormat="1" x14ac:dyDescent="0.35">
      <c r="A92" s="5"/>
      <c r="B92" s="5"/>
      <c r="C92" s="6"/>
      <c r="D92" s="13"/>
      <c r="E92" s="5"/>
      <c r="F92" s="13"/>
      <c r="G92" s="5"/>
      <c r="H92" s="5"/>
    </row>
    <row r="93" spans="1:8" s="2" customFormat="1" x14ac:dyDescent="0.35">
      <c r="A93" s="5"/>
      <c r="B93" s="5"/>
      <c r="C93" s="6"/>
      <c r="D93" s="13"/>
      <c r="E93" s="5"/>
      <c r="F93" s="13"/>
      <c r="G93" s="5"/>
      <c r="H93" s="5"/>
    </row>
    <row r="94" spans="1:8" s="2" customFormat="1" x14ac:dyDescent="0.35">
      <c r="A94" s="5"/>
      <c r="B94" s="5"/>
      <c r="C94" s="6"/>
      <c r="D94" s="13"/>
      <c r="E94" s="5"/>
      <c r="F94" s="13"/>
      <c r="G94" s="5"/>
      <c r="H94" s="5"/>
    </row>
    <row r="95" spans="1:8" s="2" customFormat="1" x14ac:dyDescent="0.35">
      <c r="A95" s="5"/>
      <c r="B95" s="5"/>
      <c r="C95" s="6"/>
      <c r="D95" s="13"/>
      <c r="E95" s="5"/>
      <c r="F95" s="13"/>
      <c r="G95" s="5"/>
      <c r="H95" s="5"/>
    </row>
    <row r="96" spans="1:8" s="2" customFormat="1" x14ac:dyDescent="0.35">
      <c r="A96" s="5"/>
      <c r="B96" s="5"/>
      <c r="C96" s="6"/>
      <c r="D96" s="13"/>
      <c r="E96" s="5"/>
      <c r="F96" s="13"/>
      <c r="G96" s="5"/>
      <c r="H96" s="5"/>
    </row>
    <row r="97" spans="1:8" s="2" customFormat="1" x14ac:dyDescent="0.35">
      <c r="A97" s="5"/>
      <c r="B97" s="5"/>
      <c r="C97" s="6"/>
      <c r="D97" s="13"/>
      <c r="E97" s="5"/>
      <c r="F97" s="13"/>
      <c r="G97" s="5"/>
      <c r="H97" s="5"/>
    </row>
    <row r="98" spans="1:8" s="2" customFormat="1" x14ac:dyDescent="0.35">
      <c r="A98" s="5"/>
      <c r="B98" s="5"/>
      <c r="C98" s="6"/>
      <c r="D98" s="13"/>
      <c r="E98" s="5"/>
      <c r="F98" s="13"/>
      <c r="G98" s="5"/>
      <c r="H98" s="5"/>
    </row>
    <row r="99" spans="1:8" s="2" customFormat="1" x14ac:dyDescent="0.35">
      <c r="A99" s="5"/>
      <c r="B99" s="5"/>
      <c r="C99" s="6"/>
      <c r="D99" s="13"/>
      <c r="E99" s="5"/>
      <c r="F99" s="13"/>
      <c r="G99" s="5"/>
      <c r="H99" s="5"/>
    </row>
    <row r="100" spans="1:8" s="2" customFormat="1" x14ac:dyDescent="0.35">
      <c r="A100" s="5"/>
      <c r="B100" s="5"/>
      <c r="C100" s="6"/>
      <c r="D100" s="13"/>
      <c r="E100" s="5"/>
      <c r="F100" s="13"/>
      <c r="G100" s="5"/>
      <c r="H100" s="5"/>
    </row>
  </sheetData>
  <sheetProtection sheet="1" objects="1" scenarios="1"/>
  <sortState xmlns:xlrd2="http://schemas.microsoft.com/office/spreadsheetml/2017/richdata2" ref="C22:C32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 xr:uid="{00000000-0002-0000-0000-000000000000}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101600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68"/>
  <sheetViews>
    <sheetView workbookViewId="0">
      <pane ySplit="1" topLeftCell="A124" activePane="bottomLeft" state="frozen"/>
      <selection pane="bottomLeft" activeCell="B120" sqref="B120:B155"/>
    </sheetView>
  </sheetViews>
  <sheetFormatPr defaultRowHeight="14.5" x14ac:dyDescent="0.35"/>
  <cols>
    <col min="1" max="1" width="37.54296875" style="31" customWidth="1"/>
    <col min="2" max="2" width="12" style="32" bestFit="1" customWidth="1"/>
    <col min="5" max="5" width="15.90625" bestFit="1" customWidth="1"/>
    <col min="7" max="7" width="15" bestFit="1" customWidth="1"/>
  </cols>
  <sheetData>
    <row r="1" spans="1:7" s="1" customFormat="1" x14ac:dyDescent="0.35">
      <c r="A1" s="35" t="s">
        <v>0</v>
      </c>
      <c r="B1" s="26" t="s">
        <v>1</v>
      </c>
    </row>
    <row r="2" spans="1:7" x14ac:dyDescent="0.35">
      <c r="A2" s="33">
        <v>45446</v>
      </c>
      <c r="B2" s="34">
        <v>1</v>
      </c>
      <c r="E2" s="27"/>
      <c r="F2" s="28"/>
      <c r="G2" s="29"/>
    </row>
    <row r="3" spans="1:7" x14ac:dyDescent="0.35">
      <c r="A3" s="38">
        <v>45447</v>
      </c>
      <c r="B3" s="34">
        <v>1</v>
      </c>
      <c r="E3" s="27"/>
      <c r="F3" s="28"/>
      <c r="G3" s="29"/>
    </row>
    <row r="4" spans="1:7" x14ac:dyDescent="0.35">
      <c r="A4" s="33">
        <v>45448</v>
      </c>
      <c r="B4" s="34">
        <v>1</v>
      </c>
      <c r="E4" s="27"/>
      <c r="F4" s="28"/>
      <c r="G4" s="29"/>
    </row>
    <row r="5" spans="1:7" x14ac:dyDescent="0.35">
      <c r="A5" s="33">
        <v>45449</v>
      </c>
      <c r="B5" s="34">
        <v>1</v>
      </c>
      <c r="E5" s="27"/>
      <c r="F5" s="28"/>
      <c r="G5" s="29"/>
    </row>
    <row r="6" spans="1:7" x14ac:dyDescent="0.35">
      <c r="A6" s="33">
        <v>45450</v>
      </c>
      <c r="B6" s="34">
        <v>1</v>
      </c>
      <c r="E6" s="27"/>
      <c r="F6" s="28"/>
      <c r="G6" s="29"/>
    </row>
    <row r="7" spans="1:7" x14ac:dyDescent="0.35">
      <c r="A7" s="33">
        <v>45453</v>
      </c>
      <c r="B7" s="34">
        <v>1</v>
      </c>
      <c r="E7" s="27"/>
      <c r="F7" s="28"/>
      <c r="G7" s="29"/>
    </row>
    <row r="8" spans="1:7" x14ac:dyDescent="0.35">
      <c r="A8" s="33">
        <v>45454</v>
      </c>
      <c r="B8" s="34">
        <v>1</v>
      </c>
      <c r="E8" s="27"/>
      <c r="F8" s="28"/>
      <c r="G8" s="29"/>
    </row>
    <row r="9" spans="1:7" x14ac:dyDescent="0.35">
      <c r="A9" s="33">
        <v>45455</v>
      </c>
      <c r="B9" s="34">
        <v>1</v>
      </c>
      <c r="E9" s="27"/>
      <c r="F9" s="28"/>
      <c r="G9" s="29"/>
    </row>
    <row r="10" spans="1:7" x14ac:dyDescent="0.35">
      <c r="A10" s="33">
        <v>45456</v>
      </c>
      <c r="B10" s="34">
        <v>1</v>
      </c>
      <c r="E10" s="27"/>
      <c r="F10" s="28"/>
      <c r="G10" s="29"/>
    </row>
    <row r="11" spans="1:7" x14ac:dyDescent="0.35">
      <c r="A11" s="33">
        <v>45457</v>
      </c>
      <c r="B11" s="34">
        <v>1</v>
      </c>
      <c r="E11" s="27"/>
      <c r="F11" s="28"/>
      <c r="G11" s="29"/>
    </row>
    <row r="12" spans="1:7" x14ac:dyDescent="0.35">
      <c r="A12" s="33">
        <v>45461</v>
      </c>
      <c r="B12" s="34">
        <v>1</v>
      </c>
      <c r="E12" s="27"/>
      <c r="F12" s="28"/>
      <c r="G12" s="29"/>
    </row>
    <row r="13" spans="1:7" x14ac:dyDescent="0.35">
      <c r="A13" s="33">
        <v>45462</v>
      </c>
      <c r="B13" s="34">
        <v>1</v>
      </c>
      <c r="E13" s="27"/>
      <c r="F13" s="28"/>
      <c r="G13" s="29"/>
    </row>
    <row r="14" spans="1:7" x14ac:dyDescent="0.35">
      <c r="A14" s="33">
        <v>45463</v>
      </c>
      <c r="B14" s="34">
        <v>1</v>
      </c>
      <c r="E14" s="27"/>
      <c r="F14" s="28"/>
      <c r="G14" s="29"/>
    </row>
    <row r="15" spans="1:7" x14ac:dyDescent="0.35">
      <c r="A15" s="33">
        <v>45464</v>
      </c>
      <c r="B15" s="34">
        <v>1</v>
      </c>
      <c r="E15" s="27"/>
      <c r="F15" s="28"/>
      <c r="G15" s="29"/>
    </row>
    <row r="16" spans="1:7" x14ac:dyDescent="0.35">
      <c r="A16" s="33">
        <v>45467</v>
      </c>
      <c r="B16" s="34">
        <v>1</v>
      </c>
      <c r="E16" s="27"/>
      <c r="F16" s="28"/>
      <c r="G16" s="29"/>
    </row>
    <row r="17" spans="1:7" x14ac:dyDescent="0.35">
      <c r="A17" s="33">
        <v>45468</v>
      </c>
      <c r="B17" s="34">
        <v>1</v>
      </c>
      <c r="E17" s="27"/>
      <c r="F17" s="28"/>
      <c r="G17" s="29"/>
    </row>
    <row r="18" spans="1:7" x14ac:dyDescent="0.35">
      <c r="A18" s="33">
        <v>45469</v>
      </c>
      <c r="B18" s="34">
        <v>1</v>
      </c>
      <c r="E18" s="27"/>
      <c r="F18" s="28"/>
      <c r="G18" s="29"/>
    </row>
    <row r="19" spans="1:7" x14ac:dyDescent="0.35">
      <c r="A19" s="33">
        <v>45470</v>
      </c>
      <c r="B19" s="34">
        <v>1</v>
      </c>
      <c r="E19" s="27"/>
      <c r="F19" s="28"/>
      <c r="G19" s="29"/>
    </row>
    <row r="20" spans="1:7" x14ac:dyDescent="0.35">
      <c r="A20" s="38">
        <v>45471</v>
      </c>
      <c r="B20" s="34">
        <v>1</v>
      </c>
      <c r="E20" s="27"/>
      <c r="F20" s="28"/>
      <c r="G20" s="29"/>
    </row>
    <row r="21" spans="1:7" x14ac:dyDescent="0.35">
      <c r="A21" s="33">
        <v>45474</v>
      </c>
      <c r="B21" s="34">
        <v>1</v>
      </c>
      <c r="E21" s="27"/>
      <c r="F21" s="28"/>
      <c r="G21" s="29"/>
    </row>
    <row r="22" spans="1:7" x14ac:dyDescent="0.35">
      <c r="A22" s="33">
        <v>45475</v>
      </c>
      <c r="B22" s="34">
        <v>1</v>
      </c>
      <c r="E22" s="27"/>
      <c r="F22" s="28"/>
      <c r="G22" s="29"/>
    </row>
    <row r="23" spans="1:7" x14ac:dyDescent="0.35">
      <c r="A23" s="33">
        <v>45476</v>
      </c>
      <c r="B23" s="34">
        <v>1</v>
      </c>
      <c r="E23" s="27"/>
      <c r="F23" s="28"/>
      <c r="G23" s="29"/>
    </row>
    <row r="24" spans="1:7" x14ac:dyDescent="0.35">
      <c r="A24" s="33">
        <v>45477</v>
      </c>
      <c r="B24" s="34">
        <v>1</v>
      </c>
      <c r="E24" s="27"/>
      <c r="F24" s="28"/>
      <c r="G24" s="29"/>
    </row>
    <row r="25" spans="1:7" x14ac:dyDescent="0.35">
      <c r="A25" s="33">
        <v>45478</v>
      </c>
      <c r="B25" s="34">
        <v>1</v>
      </c>
      <c r="E25" s="27"/>
      <c r="F25" s="28"/>
      <c r="G25" s="29"/>
    </row>
    <row r="26" spans="1:7" x14ac:dyDescent="0.35">
      <c r="A26" s="33">
        <v>45481</v>
      </c>
      <c r="B26" s="34">
        <v>1</v>
      </c>
      <c r="E26" s="27"/>
      <c r="F26" s="28"/>
      <c r="G26" s="29"/>
    </row>
    <row r="27" spans="1:7" x14ac:dyDescent="0.35">
      <c r="A27" s="33">
        <v>45482</v>
      </c>
      <c r="B27" s="34">
        <v>1</v>
      </c>
      <c r="E27" s="27"/>
      <c r="F27" s="28"/>
      <c r="G27" s="29"/>
    </row>
    <row r="28" spans="1:7" x14ac:dyDescent="0.35">
      <c r="A28" s="33">
        <v>45483</v>
      </c>
      <c r="B28" s="34">
        <v>1</v>
      </c>
      <c r="E28" s="27"/>
      <c r="F28" s="28"/>
      <c r="G28" s="29"/>
    </row>
    <row r="29" spans="1:7" x14ac:dyDescent="0.35">
      <c r="A29" s="33">
        <v>45484</v>
      </c>
      <c r="B29" s="34">
        <v>1</v>
      </c>
      <c r="E29" s="27"/>
      <c r="F29" s="28"/>
      <c r="G29" s="29"/>
    </row>
    <row r="30" spans="1:7" x14ac:dyDescent="0.35">
      <c r="A30" s="33">
        <v>45485</v>
      </c>
      <c r="B30" s="34">
        <v>1</v>
      </c>
      <c r="E30" s="27"/>
      <c r="F30" s="28"/>
      <c r="G30" s="29"/>
    </row>
    <row r="31" spans="1:7" x14ac:dyDescent="0.35">
      <c r="A31" s="33">
        <v>45488</v>
      </c>
      <c r="B31" s="34">
        <v>1</v>
      </c>
      <c r="E31" s="27"/>
      <c r="F31" s="28"/>
      <c r="G31" s="29"/>
    </row>
    <row r="32" spans="1:7" x14ac:dyDescent="0.35">
      <c r="A32" s="33">
        <v>45489</v>
      </c>
      <c r="B32" s="34">
        <v>1</v>
      </c>
      <c r="E32" s="27"/>
      <c r="F32" s="28"/>
      <c r="G32" s="29"/>
    </row>
    <row r="33" spans="1:7" x14ac:dyDescent="0.35">
      <c r="A33" s="33">
        <v>45490</v>
      </c>
      <c r="B33" s="34">
        <v>1</v>
      </c>
      <c r="E33" s="27"/>
      <c r="F33" s="28"/>
      <c r="G33" s="29"/>
    </row>
    <row r="34" spans="1:7" x14ac:dyDescent="0.35">
      <c r="A34" s="33">
        <v>45491</v>
      </c>
      <c r="B34" s="34">
        <v>1</v>
      </c>
      <c r="E34" s="27"/>
      <c r="F34" s="28"/>
      <c r="G34" s="29"/>
    </row>
    <row r="35" spans="1:7" x14ac:dyDescent="0.35">
      <c r="A35" s="33">
        <v>45492</v>
      </c>
      <c r="B35" s="34">
        <v>1</v>
      </c>
      <c r="E35" s="27"/>
      <c r="F35" s="28"/>
      <c r="G35" s="29"/>
    </row>
    <row r="36" spans="1:7" x14ac:dyDescent="0.35">
      <c r="A36" s="33">
        <v>45495</v>
      </c>
      <c r="B36" s="34">
        <v>1</v>
      </c>
      <c r="E36" s="27"/>
      <c r="F36" s="28"/>
      <c r="G36" s="29"/>
    </row>
    <row r="37" spans="1:7" x14ac:dyDescent="0.35">
      <c r="A37" s="33">
        <v>45496</v>
      </c>
      <c r="B37" s="34">
        <v>1</v>
      </c>
      <c r="E37" s="27"/>
      <c r="F37" s="28"/>
      <c r="G37" s="29"/>
    </row>
    <row r="38" spans="1:7" x14ac:dyDescent="0.35">
      <c r="A38" s="33">
        <v>45497</v>
      </c>
      <c r="B38" s="34">
        <v>1</v>
      </c>
      <c r="E38" s="27"/>
      <c r="F38" s="28"/>
      <c r="G38" s="29"/>
    </row>
    <row r="39" spans="1:7" x14ac:dyDescent="0.35">
      <c r="A39" s="33">
        <v>45498</v>
      </c>
      <c r="B39" s="34">
        <v>1</v>
      </c>
      <c r="E39" s="27"/>
      <c r="F39" s="28"/>
      <c r="G39" s="29"/>
    </row>
    <row r="40" spans="1:7" x14ac:dyDescent="0.35">
      <c r="A40" s="33">
        <v>45499</v>
      </c>
      <c r="B40" s="34">
        <v>1</v>
      </c>
      <c r="E40" s="27"/>
      <c r="F40" s="28"/>
      <c r="G40" s="29"/>
    </row>
    <row r="41" spans="1:7" x14ac:dyDescent="0.35">
      <c r="A41" s="33">
        <v>45502</v>
      </c>
      <c r="B41" s="34">
        <v>1</v>
      </c>
      <c r="E41" s="27"/>
      <c r="F41" s="28"/>
      <c r="G41" s="29"/>
    </row>
    <row r="42" spans="1:7" x14ac:dyDescent="0.35">
      <c r="A42" s="33">
        <v>45503</v>
      </c>
      <c r="B42" s="34">
        <v>1</v>
      </c>
      <c r="E42" s="27"/>
      <c r="F42" s="28"/>
      <c r="G42" s="29"/>
    </row>
    <row r="43" spans="1:7" x14ac:dyDescent="0.35">
      <c r="A43" s="33">
        <v>45504</v>
      </c>
      <c r="B43" s="34">
        <v>1</v>
      </c>
      <c r="E43" s="27"/>
      <c r="F43" s="28"/>
      <c r="G43" s="29"/>
    </row>
    <row r="44" spans="1:7" x14ac:dyDescent="0.35">
      <c r="A44" s="33">
        <v>45505</v>
      </c>
      <c r="B44" s="34">
        <v>1</v>
      </c>
      <c r="E44" s="27"/>
      <c r="F44" s="28"/>
      <c r="G44" s="29"/>
    </row>
    <row r="45" spans="1:7" x14ac:dyDescent="0.35">
      <c r="A45" s="33">
        <v>45506</v>
      </c>
      <c r="B45" s="34">
        <v>1</v>
      </c>
      <c r="E45" s="27"/>
      <c r="F45" s="28"/>
      <c r="G45" s="29"/>
    </row>
    <row r="46" spans="1:7" x14ac:dyDescent="0.35">
      <c r="A46" s="33">
        <v>45509</v>
      </c>
      <c r="B46" s="34">
        <v>1</v>
      </c>
      <c r="E46" s="27"/>
      <c r="F46" s="28"/>
      <c r="G46" s="29"/>
    </row>
    <row r="47" spans="1:7" x14ac:dyDescent="0.35">
      <c r="A47" s="33">
        <v>45510</v>
      </c>
      <c r="B47" s="34">
        <v>1</v>
      </c>
      <c r="E47" s="27"/>
      <c r="F47" s="28"/>
      <c r="G47" s="29"/>
    </row>
    <row r="48" spans="1:7" x14ac:dyDescent="0.35">
      <c r="A48" s="33">
        <v>45511</v>
      </c>
      <c r="B48" s="34">
        <v>1</v>
      </c>
      <c r="E48" s="27"/>
      <c r="F48" s="28"/>
      <c r="G48" s="29"/>
    </row>
    <row r="49" spans="1:7" x14ac:dyDescent="0.35">
      <c r="A49" s="33">
        <v>45512</v>
      </c>
      <c r="B49" s="34">
        <v>1</v>
      </c>
      <c r="E49" s="27"/>
      <c r="F49" s="28"/>
      <c r="G49" s="29"/>
    </row>
    <row r="50" spans="1:7" x14ac:dyDescent="0.35">
      <c r="A50" s="33">
        <v>45516</v>
      </c>
      <c r="B50" s="34">
        <v>1</v>
      </c>
      <c r="E50" s="27"/>
      <c r="F50" s="28"/>
      <c r="G50" s="29"/>
    </row>
    <row r="51" spans="1:7" x14ac:dyDescent="0.35">
      <c r="A51" s="33">
        <v>45517</v>
      </c>
      <c r="B51" s="34">
        <v>1</v>
      </c>
      <c r="E51" s="27"/>
      <c r="F51" s="28"/>
      <c r="G51" s="29"/>
    </row>
    <row r="52" spans="1:7" x14ac:dyDescent="0.35">
      <c r="A52" s="33">
        <v>45518</v>
      </c>
      <c r="B52" s="34">
        <v>1</v>
      </c>
      <c r="E52" s="27"/>
      <c r="F52" s="28"/>
      <c r="G52" s="29"/>
    </row>
    <row r="53" spans="1:7" x14ac:dyDescent="0.35">
      <c r="A53" s="33">
        <v>45519</v>
      </c>
      <c r="B53" s="34">
        <v>1</v>
      </c>
      <c r="E53" s="27"/>
      <c r="F53" s="28"/>
      <c r="G53" s="29"/>
    </row>
    <row r="54" spans="1:7" x14ac:dyDescent="0.35">
      <c r="A54" s="33">
        <v>45520</v>
      </c>
      <c r="B54" s="34">
        <v>1</v>
      </c>
      <c r="E54" s="27"/>
      <c r="F54" s="28"/>
      <c r="G54" s="29"/>
    </row>
    <row r="55" spans="1:7" x14ac:dyDescent="0.35">
      <c r="A55" s="33">
        <v>45521</v>
      </c>
      <c r="B55" s="34">
        <v>1</v>
      </c>
      <c r="E55" s="27"/>
      <c r="F55" s="28"/>
      <c r="G55" s="29"/>
    </row>
    <row r="56" spans="1:7" x14ac:dyDescent="0.35">
      <c r="A56" s="33">
        <v>45522</v>
      </c>
      <c r="B56" s="34">
        <v>1</v>
      </c>
      <c r="E56" s="27"/>
      <c r="F56" s="28"/>
      <c r="G56" s="29"/>
    </row>
    <row r="57" spans="1:7" x14ac:dyDescent="0.35">
      <c r="A57" s="33">
        <v>45523</v>
      </c>
      <c r="B57" s="34">
        <v>1</v>
      </c>
      <c r="E57" s="27"/>
      <c r="F57" s="28"/>
      <c r="G57" s="29"/>
    </row>
    <row r="58" spans="1:7" x14ac:dyDescent="0.35">
      <c r="A58" s="33">
        <v>45524</v>
      </c>
      <c r="B58" s="34">
        <v>1</v>
      </c>
      <c r="E58" s="27"/>
      <c r="F58" s="28"/>
      <c r="G58" s="29"/>
    </row>
    <row r="59" spans="1:7" x14ac:dyDescent="0.35">
      <c r="A59" s="33">
        <v>45525</v>
      </c>
      <c r="B59" s="34">
        <v>1</v>
      </c>
      <c r="E59" s="27"/>
      <c r="F59" s="28"/>
      <c r="G59" s="29"/>
    </row>
    <row r="60" spans="1:7" x14ac:dyDescent="0.35">
      <c r="A60" s="33">
        <v>45526</v>
      </c>
      <c r="B60" s="34">
        <v>1</v>
      </c>
      <c r="E60" s="27"/>
      <c r="F60" s="28"/>
      <c r="G60" s="29"/>
    </row>
    <row r="61" spans="1:7" x14ac:dyDescent="0.35">
      <c r="A61" s="33">
        <v>45527</v>
      </c>
      <c r="B61" s="34">
        <v>1</v>
      </c>
      <c r="E61" s="27"/>
      <c r="F61" s="28"/>
      <c r="G61" s="29"/>
    </row>
    <row r="62" spans="1:7" x14ac:dyDescent="0.35">
      <c r="A62" s="33">
        <v>45528</v>
      </c>
      <c r="B62" s="34">
        <v>1</v>
      </c>
      <c r="E62" s="27"/>
      <c r="F62" s="28"/>
      <c r="G62" s="29"/>
    </row>
    <row r="63" spans="1:7" x14ac:dyDescent="0.35">
      <c r="A63" s="33">
        <v>45529</v>
      </c>
      <c r="B63" s="34">
        <v>1</v>
      </c>
      <c r="E63" s="27"/>
      <c r="F63" s="28"/>
      <c r="G63" s="29"/>
    </row>
    <row r="64" spans="1:7" x14ac:dyDescent="0.35">
      <c r="A64" s="33">
        <v>45530</v>
      </c>
      <c r="B64" s="34">
        <v>1</v>
      </c>
      <c r="E64" s="27"/>
      <c r="F64" s="28"/>
      <c r="G64" s="29"/>
    </row>
    <row r="65" spans="1:7" x14ac:dyDescent="0.35">
      <c r="A65" s="33">
        <v>45531</v>
      </c>
      <c r="B65" s="34">
        <v>1</v>
      </c>
      <c r="E65" s="27"/>
      <c r="F65" s="28"/>
      <c r="G65" s="29"/>
    </row>
    <row r="66" spans="1:7" x14ac:dyDescent="0.35">
      <c r="A66" s="33">
        <v>45532</v>
      </c>
      <c r="B66" s="34">
        <v>1</v>
      </c>
      <c r="E66" s="27"/>
      <c r="F66" s="28"/>
      <c r="G66" s="29"/>
    </row>
    <row r="67" spans="1:7" x14ac:dyDescent="0.35">
      <c r="A67" s="33">
        <v>45533</v>
      </c>
      <c r="B67" s="34">
        <v>1</v>
      </c>
      <c r="E67" s="27"/>
      <c r="F67" s="28"/>
      <c r="G67" s="29"/>
    </row>
    <row r="68" spans="1:7" x14ac:dyDescent="0.35">
      <c r="A68" s="33">
        <v>45534</v>
      </c>
      <c r="B68" s="34">
        <v>1</v>
      </c>
      <c r="E68" s="27"/>
      <c r="F68" s="28"/>
      <c r="G68" s="29"/>
    </row>
    <row r="69" spans="1:7" x14ac:dyDescent="0.35">
      <c r="A69" s="33">
        <v>45535</v>
      </c>
      <c r="B69" s="34">
        <v>1</v>
      </c>
      <c r="E69" s="27"/>
      <c r="F69" s="28"/>
      <c r="G69" s="29"/>
    </row>
    <row r="70" spans="1:7" x14ac:dyDescent="0.35">
      <c r="A70" s="33">
        <v>45536</v>
      </c>
      <c r="B70" s="34">
        <v>1</v>
      </c>
      <c r="E70" s="27"/>
      <c r="F70" s="28"/>
      <c r="G70" s="29"/>
    </row>
    <row r="71" spans="1:7" x14ac:dyDescent="0.35">
      <c r="A71" s="33">
        <v>45537</v>
      </c>
      <c r="B71" s="34">
        <v>1</v>
      </c>
      <c r="E71" s="27"/>
      <c r="F71" s="28"/>
      <c r="G71" s="29"/>
    </row>
    <row r="72" spans="1:7" x14ac:dyDescent="0.35">
      <c r="A72" s="33">
        <v>45538</v>
      </c>
      <c r="B72" s="34">
        <v>1</v>
      </c>
      <c r="E72" s="27"/>
      <c r="F72" s="28"/>
      <c r="G72" s="29"/>
    </row>
    <row r="73" spans="1:7" x14ac:dyDescent="0.35">
      <c r="A73" s="33">
        <v>45539</v>
      </c>
      <c r="B73" s="34">
        <v>1</v>
      </c>
      <c r="E73" s="27"/>
      <c r="F73" s="28"/>
      <c r="G73" s="29"/>
    </row>
    <row r="74" spans="1:7" x14ac:dyDescent="0.35">
      <c r="A74" s="33">
        <v>45540</v>
      </c>
      <c r="B74" s="34">
        <v>1</v>
      </c>
      <c r="E74" s="27"/>
      <c r="F74" s="28"/>
      <c r="G74" s="29"/>
    </row>
    <row r="75" spans="1:7" x14ac:dyDescent="0.35">
      <c r="A75" s="33">
        <v>45541</v>
      </c>
      <c r="B75" s="34">
        <v>1</v>
      </c>
      <c r="E75" s="27"/>
      <c r="F75" s="28"/>
      <c r="G75" s="29"/>
    </row>
    <row r="76" spans="1:7" x14ac:dyDescent="0.35">
      <c r="A76" s="33">
        <v>45542</v>
      </c>
      <c r="B76" s="34">
        <v>1</v>
      </c>
      <c r="E76" s="27"/>
      <c r="F76" s="28"/>
      <c r="G76" s="29"/>
    </row>
    <row r="77" spans="1:7" x14ac:dyDescent="0.35">
      <c r="A77" s="33">
        <v>45543</v>
      </c>
      <c r="B77" s="34">
        <v>1</v>
      </c>
      <c r="E77" s="27"/>
      <c r="F77" s="28"/>
      <c r="G77" s="29"/>
    </row>
    <row r="78" spans="1:7" x14ac:dyDescent="0.35">
      <c r="A78" s="33">
        <v>45544</v>
      </c>
      <c r="B78" s="34">
        <v>1</v>
      </c>
      <c r="E78" s="27"/>
      <c r="F78" s="28"/>
      <c r="G78" s="29"/>
    </row>
    <row r="79" spans="1:7" x14ac:dyDescent="0.35">
      <c r="A79" s="33">
        <v>45545</v>
      </c>
      <c r="B79" s="34">
        <v>1</v>
      </c>
      <c r="E79" s="27"/>
      <c r="F79" s="28"/>
      <c r="G79" s="29"/>
    </row>
    <row r="80" spans="1:7" x14ac:dyDescent="0.35">
      <c r="A80" s="33">
        <v>45546</v>
      </c>
      <c r="B80" s="34">
        <v>1</v>
      </c>
      <c r="E80" s="27"/>
      <c r="F80" s="28"/>
      <c r="G80" s="29"/>
    </row>
    <row r="81" spans="1:7" x14ac:dyDescent="0.35">
      <c r="A81" s="33">
        <v>45547</v>
      </c>
      <c r="B81" s="34">
        <v>1</v>
      </c>
      <c r="E81" s="27"/>
      <c r="F81" s="28"/>
      <c r="G81" s="29"/>
    </row>
    <row r="82" spans="1:7" x14ac:dyDescent="0.35">
      <c r="A82" s="33">
        <v>45548</v>
      </c>
      <c r="B82" s="34">
        <v>1</v>
      </c>
      <c r="E82" s="27"/>
      <c r="F82" s="28"/>
      <c r="G82" s="29"/>
    </row>
    <row r="83" spans="1:7" x14ac:dyDescent="0.35">
      <c r="A83" s="33">
        <v>45549</v>
      </c>
      <c r="B83" s="34">
        <v>1</v>
      </c>
      <c r="E83" s="27"/>
      <c r="F83" s="28"/>
      <c r="G83" s="29"/>
    </row>
    <row r="84" spans="1:7" x14ac:dyDescent="0.35">
      <c r="A84" s="33">
        <v>45550</v>
      </c>
      <c r="B84" s="34">
        <v>1</v>
      </c>
      <c r="E84" s="27"/>
      <c r="F84" s="28"/>
      <c r="G84" s="29"/>
    </row>
    <row r="85" spans="1:7" x14ac:dyDescent="0.35">
      <c r="A85" s="33">
        <v>45551</v>
      </c>
      <c r="B85" s="34">
        <v>1</v>
      </c>
      <c r="E85" s="27"/>
      <c r="F85" s="28"/>
      <c r="G85" s="29"/>
    </row>
    <row r="86" spans="1:7" x14ac:dyDescent="0.35">
      <c r="A86" s="33">
        <v>45552</v>
      </c>
      <c r="B86" s="34">
        <v>1</v>
      </c>
      <c r="E86" s="27"/>
      <c r="F86" s="28"/>
      <c r="G86" s="29"/>
    </row>
    <row r="87" spans="1:7" x14ac:dyDescent="0.35">
      <c r="A87" s="33">
        <v>45553</v>
      </c>
      <c r="B87" s="34">
        <v>1</v>
      </c>
      <c r="E87" s="27"/>
      <c r="F87" s="28"/>
      <c r="G87" s="29"/>
    </row>
    <row r="88" spans="1:7" x14ac:dyDescent="0.35">
      <c r="A88" s="33">
        <v>45554</v>
      </c>
      <c r="B88" s="34">
        <v>1</v>
      </c>
      <c r="E88" s="27"/>
      <c r="F88" s="28"/>
      <c r="G88" s="29"/>
    </row>
    <row r="89" spans="1:7" x14ac:dyDescent="0.35">
      <c r="A89" s="33">
        <v>45555</v>
      </c>
      <c r="B89" s="34">
        <v>1</v>
      </c>
      <c r="E89" s="27"/>
      <c r="F89" s="28"/>
      <c r="G89" s="29"/>
    </row>
    <row r="90" spans="1:7" x14ac:dyDescent="0.35">
      <c r="A90" s="33">
        <v>45556</v>
      </c>
      <c r="B90" s="34">
        <v>1</v>
      </c>
      <c r="E90" s="27"/>
      <c r="F90" s="28"/>
      <c r="G90" s="29"/>
    </row>
    <row r="91" spans="1:7" x14ac:dyDescent="0.35">
      <c r="A91" s="33">
        <v>45557</v>
      </c>
      <c r="B91" s="34">
        <v>1</v>
      </c>
      <c r="E91" s="27"/>
      <c r="F91" s="28"/>
      <c r="G91" s="29"/>
    </row>
    <row r="92" spans="1:7" x14ac:dyDescent="0.35">
      <c r="A92" s="33">
        <v>45558</v>
      </c>
      <c r="B92" s="34">
        <v>1</v>
      </c>
      <c r="E92" s="27"/>
      <c r="F92" s="28"/>
      <c r="G92" s="29"/>
    </row>
    <row r="93" spans="1:7" x14ac:dyDescent="0.35">
      <c r="A93" s="33">
        <v>45559</v>
      </c>
      <c r="B93" s="34">
        <v>1</v>
      </c>
      <c r="E93" s="27"/>
      <c r="F93" s="28"/>
      <c r="G93" s="29"/>
    </row>
    <row r="94" spans="1:7" x14ac:dyDescent="0.35">
      <c r="A94" s="33">
        <v>45560</v>
      </c>
      <c r="B94" s="34">
        <v>1</v>
      </c>
      <c r="E94" s="27"/>
      <c r="F94" s="28"/>
      <c r="G94" s="29"/>
    </row>
    <row r="95" spans="1:7" x14ac:dyDescent="0.35">
      <c r="A95" s="33">
        <v>45561</v>
      </c>
      <c r="B95" s="34">
        <v>1</v>
      </c>
      <c r="E95" s="27"/>
      <c r="F95" s="28"/>
      <c r="G95" s="29"/>
    </row>
    <row r="96" spans="1:7" x14ac:dyDescent="0.35">
      <c r="A96" s="33">
        <v>45562</v>
      </c>
      <c r="B96" s="34">
        <v>1</v>
      </c>
      <c r="E96" s="27"/>
      <c r="F96" s="28"/>
      <c r="G96" s="29"/>
    </row>
    <row r="97" spans="1:7" x14ac:dyDescent="0.35">
      <c r="A97" s="33">
        <v>45563</v>
      </c>
      <c r="B97" s="34">
        <v>1</v>
      </c>
      <c r="E97" s="27"/>
      <c r="F97" s="28"/>
      <c r="G97" s="29"/>
    </row>
    <row r="98" spans="1:7" x14ac:dyDescent="0.35">
      <c r="A98" s="33">
        <v>45564</v>
      </c>
      <c r="B98" s="34">
        <v>1</v>
      </c>
      <c r="E98" s="27"/>
      <c r="F98" s="28"/>
      <c r="G98" s="29"/>
    </row>
    <row r="99" spans="1:7" x14ac:dyDescent="0.35">
      <c r="A99" s="33">
        <v>45565</v>
      </c>
      <c r="B99" s="34">
        <v>1</v>
      </c>
      <c r="E99" s="27"/>
      <c r="F99" s="28"/>
      <c r="G99" s="29"/>
    </row>
    <row r="100" spans="1:7" x14ac:dyDescent="0.35">
      <c r="A100" s="33">
        <v>45566</v>
      </c>
      <c r="B100" s="34">
        <v>1</v>
      </c>
      <c r="E100" s="27"/>
      <c r="F100" s="28"/>
      <c r="G100" s="29"/>
    </row>
    <row r="101" spans="1:7" x14ac:dyDescent="0.35">
      <c r="A101" s="33">
        <v>45567</v>
      </c>
      <c r="B101" s="34">
        <v>1</v>
      </c>
      <c r="E101" s="27"/>
      <c r="F101" s="28"/>
      <c r="G101" s="29"/>
    </row>
    <row r="102" spans="1:7" x14ac:dyDescent="0.35">
      <c r="A102" s="33">
        <v>45568</v>
      </c>
      <c r="B102" s="34">
        <v>1</v>
      </c>
      <c r="E102" s="27"/>
      <c r="F102" s="28"/>
      <c r="G102" s="29"/>
    </row>
    <row r="103" spans="1:7" x14ac:dyDescent="0.35">
      <c r="A103" s="33">
        <v>45569</v>
      </c>
      <c r="B103" s="34">
        <v>1</v>
      </c>
      <c r="E103" s="27"/>
      <c r="F103" s="28"/>
      <c r="G103" s="29"/>
    </row>
    <row r="104" spans="1:7" x14ac:dyDescent="0.35">
      <c r="A104" s="33">
        <v>45570</v>
      </c>
      <c r="B104" s="34">
        <v>1</v>
      </c>
      <c r="E104" s="27"/>
      <c r="F104" s="28"/>
      <c r="G104" s="29"/>
    </row>
    <row r="105" spans="1:7" x14ac:dyDescent="0.35">
      <c r="A105" s="33">
        <v>45571</v>
      </c>
      <c r="B105" s="34">
        <v>1</v>
      </c>
      <c r="E105" s="27"/>
      <c r="F105" s="28"/>
      <c r="G105" s="29"/>
    </row>
    <row r="106" spans="1:7" x14ac:dyDescent="0.35">
      <c r="A106" s="33">
        <v>45572</v>
      </c>
      <c r="B106" s="34">
        <v>1</v>
      </c>
      <c r="E106" s="27"/>
      <c r="F106" s="28"/>
      <c r="G106" s="29"/>
    </row>
    <row r="107" spans="1:7" x14ac:dyDescent="0.35">
      <c r="A107" s="33">
        <v>45573</v>
      </c>
      <c r="B107" s="34">
        <v>1</v>
      </c>
      <c r="E107" s="27"/>
      <c r="F107" s="28"/>
      <c r="G107" s="29"/>
    </row>
    <row r="108" spans="1:7" x14ac:dyDescent="0.35">
      <c r="A108" s="33">
        <v>45574</v>
      </c>
      <c r="B108" s="34">
        <v>1</v>
      </c>
      <c r="E108" s="27"/>
      <c r="F108" s="28"/>
      <c r="G108" s="29"/>
    </row>
    <row r="109" spans="1:7" x14ac:dyDescent="0.35">
      <c r="A109" s="33">
        <v>45575</v>
      </c>
      <c r="B109" s="34">
        <v>1</v>
      </c>
      <c r="E109" s="27"/>
      <c r="F109" s="28"/>
      <c r="G109" s="29"/>
    </row>
    <row r="110" spans="1:7" x14ac:dyDescent="0.35">
      <c r="A110" s="33">
        <v>45576</v>
      </c>
      <c r="B110" s="34">
        <v>1</v>
      </c>
      <c r="E110" s="27"/>
      <c r="F110" s="28"/>
      <c r="G110" s="29"/>
    </row>
    <row r="111" spans="1:7" x14ac:dyDescent="0.35">
      <c r="A111" s="33">
        <v>45577</v>
      </c>
      <c r="B111" s="34">
        <v>1</v>
      </c>
      <c r="E111" s="27"/>
      <c r="F111" s="28"/>
      <c r="G111" s="29"/>
    </row>
    <row r="112" spans="1:7" x14ac:dyDescent="0.35">
      <c r="A112" s="33">
        <v>45578</v>
      </c>
      <c r="B112" s="34">
        <v>1</v>
      </c>
      <c r="E112" s="27"/>
      <c r="F112" s="28"/>
      <c r="G112" s="29"/>
    </row>
    <row r="113" spans="1:7" x14ac:dyDescent="0.35">
      <c r="A113" s="33">
        <v>45579</v>
      </c>
      <c r="B113" s="34">
        <v>1</v>
      </c>
      <c r="E113" s="27"/>
      <c r="F113" s="28"/>
      <c r="G113" s="29"/>
    </row>
    <row r="114" spans="1:7" x14ac:dyDescent="0.35">
      <c r="A114" s="33">
        <v>45580</v>
      </c>
      <c r="B114" s="34">
        <v>1</v>
      </c>
      <c r="E114" s="27"/>
      <c r="F114" s="28"/>
      <c r="G114" s="29"/>
    </row>
    <row r="115" spans="1:7" x14ac:dyDescent="0.35">
      <c r="A115" s="33">
        <v>45581</v>
      </c>
      <c r="B115" s="34">
        <v>1</v>
      </c>
      <c r="E115" s="27"/>
      <c r="F115" s="28"/>
      <c r="G115" s="29"/>
    </row>
    <row r="116" spans="1:7" x14ac:dyDescent="0.35">
      <c r="A116" s="33">
        <v>45582</v>
      </c>
      <c r="B116" s="34">
        <v>1</v>
      </c>
      <c r="E116" s="27"/>
      <c r="F116" s="28"/>
      <c r="G116" s="29"/>
    </row>
    <row r="117" spans="1:7" x14ac:dyDescent="0.35">
      <c r="A117" s="33">
        <v>45583</v>
      </c>
      <c r="B117" s="34">
        <v>1</v>
      </c>
      <c r="E117" s="27"/>
      <c r="F117" s="28"/>
      <c r="G117" s="29"/>
    </row>
    <row r="118" spans="1:7" x14ac:dyDescent="0.35">
      <c r="A118" s="33">
        <v>45584</v>
      </c>
      <c r="B118" s="34">
        <v>1</v>
      </c>
      <c r="E118" s="27"/>
      <c r="F118" s="28"/>
      <c r="G118" s="29"/>
    </row>
    <row r="119" spans="1:7" x14ac:dyDescent="0.35">
      <c r="A119" s="33">
        <v>45585</v>
      </c>
      <c r="B119" s="34">
        <v>1</v>
      </c>
      <c r="E119" s="27"/>
      <c r="F119" s="28"/>
      <c r="G119" s="29"/>
    </row>
    <row r="120" spans="1:7" x14ac:dyDescent="0.35">
      <c r="A120" s="33">
        <v>45586</v>
      </c>
      <c r="B120" s="34">
        <v>1</v>
      </c>
      <c r="E120" s="27"/>
      <c r="F120" s="28"/>
      <c r="G120" s="29"/>
    </row>
    <row r="121" spans="1:7" x14ac:dyDescent="0.35">
      <c r="A121" s="33">
        <v>45587</v>
      </c>
      <c r="B121" s="34">
        <v>1</v>
      </c>
      <c r="E121" s="27"/>
      <c r="F121" s="28"/>
      <c r="G121" s="29"/>
    </row>
    <row r="122" spans="1:7" x14ac:dyDescent="0.35">
      <c r="A122" s="33">
        <v>45588</v>
      </c>
      <c r="B122" s="34">
        <v>1</v>
      </c>
      <c r="E122" s="27"/>
      <c r="F122" s="28"/>
      <c r="G122" s="29"/>
    </row>
    <row r="123" spans="1:7" x14ac:dyDescent="0.35">
      <c r="A123" s="33">
        <v>45589</v>
      </c>
      <c r="B123" s="34">
        <v>1</v>
      </c>
      <c r="E123" s="27"/>
      <c r="F123" s="28"/>
      <c r="G123" s="29"/>
    </row>
    <row r="124" spans="1:7" x14ac:dyDescent="0.35">
      <c r="A124" s="33">
        <v>45590</v>
      </c>
      <c r="B124" s="34">
        <v>1</v>
      </c>
      <c r="E124" s="27"/>
      <c r="F124" s="28"/>
      <c r="G124" s="29"/>
    </row>
    <row r="125" spans="1:7" x14ac:dyDescent="0.35">
      <c r="A125" s="33">
        <v>45591</v>
      </c>
      <c r="B125" s="34">
        <v>1</v>
      </c>
      <c r="E125" s="27"/>
      <c r="F125" s="28"/>
      <c r="G125" s="29"/>
    </row>
    <row r="126" spans="1:7" x14ac:dyDescent="0.35">
      <c r="A126" s="33">
        <v>45592</v>
      </c>
      <c r="B126" s="34">
        <v>1</v>
      </c>
      <c r="E126" s="27"/>
      <c r="F126" s="28"/>
      <c r="G126" s="29"/>
    </row>
    <row r="127" spans="1:7" x14ac:dyDescent="0.35">
      <c r="A127" s="33">
        <v>45593</v>
      </c>
      <c r="B127" s="34">
        <v>1</v>
      </c>
      <c r="E127" s="27"/>
      <c r="F127" s="28"/>
      <c r="G127" s="29"/>
    </row>
    <row r="128" spans="1:7" x14ac:dyDescent="0.35">
      <c r="A128" s="33">
        <v>45594</v>
      </c>
      <c r="B128" s="34">
        <v>1</v>
      </c>
      <c r="E128" s="27"/>
      <c r="F128" s="28"/>
      <c r="G128" s="29"/>
    </row>
    <row r="129" spans="1:7" x14ac:dyDescent="0.35">
      <c r="A129" s="33">
        <v>45595</v>
      </c>
      <c r="B129" s="34">
        <v>1</v>
      </c>
      <c r="E129" s="27"/>
      <c r="F129" s="28"/>
      <c r="G129" s="29"/>
    </row>
    <row r="130" spans="1:7" x14ac:dyDescent="0.35">
      <c r="A130" s="33">
        <v>45596</v>
      </c>
      <c r="B130" s="34">
        <v>1</v>
      </c>
      <c r="E130" s="27"/>
      <c r="F130" s="28"/>
      <c r="G130" s="29"/>
    </row>
    <row r="131" spans="1:7" x14ac:dyDescent="0.35">
      <c r="A131" s="33">
        <v>45597</v>
      </c>
      <c r="B131" s="34">
        <v>1</v>
      </c>
      <c r="E131" s="27"/>
      <c r="F131" s="28"/>
      <c r="G131" s="29"/>
    </row>
    <row r="132" spans="1:7" x14ac:dyDescent="0.35">
      <c r="A132" s="33">
        <v>45598</v>
      </c>
      <c r="B132" s="34">
        <v>1</v>
      </c>
      <c r="E132" s="27"/>
      <c r="F132" s="28"/>
      <c r="G132" s="29"/>
    </row>
    <row r="133" spans="1:7" x14ac:dyDescent="0.35">
      <c r="A133" s="33">
        <v>45599</v>
      </c>
      <c r="B133" s="34">
        <v>1</v>
      </c>
      <c r="E133" s="27"/>
      <c r="F133" s="28"/>
      <c r="G133" s="29"/>
    </row>
    <row r="134" spans="1:7" x14ac:dyDescent="0.35">
      <c r="A134" s="33">
        <v>45600</v>
      </c>
      <c r="B134" s="34">
        <v>1</v>
      </c>
      <c r="E134" s="27"/>
      <c r="F134" s="28"/>
      <c r="G134" s="29"/>
    </row>
    <row r="135" spans="1:7" x14ac:dyDescent="0.35">
      <c r="A135" s="33">
        <v>45601</v>
      </c>
      <c r="B135" s="34">
        <v>1</v>
      </c>
      <c r="E135" s="27"/>
      <c r="F135" s="28"/>
      <c r="G135" s="29"/>
    </row>
    <row r="136" spans="1:7" x14ac:dyDescent="0.35">
      <c r="A136" s="33">
        <v>45602</v>
      </c>
      <c r="B136" s="34">
        <v>1</v>
      </c>
      <c r="E136" s="27"/>
      <c r="F136" s="28"/>
      <c r="G136" s="29"/>
    </row>
    <row r="137" spans="1:7" x14ac:dyDescent="0.35">
      <c r="A137" s="33">
        <v>45603</v>
      </c>
      <c r="B137" s="34">
        <v>1</v>
      </c>
      <c r="E137" s="27"/>
      <c r="F137" s="28"/>
      <c r="G137" s="29"/>
    </row>
    <row r="138" spans="1:7" x14ac:dyDescent="0.35">
      <c r="A138" s="33">
        <v>45604</v>
      </c>
      <c r="B138" s="34">
        <v>1</v>
      </c>
      <c r="E138" s="27"/>
      <c r="F138" s="28"/>
      <c r="G138" s="29"/>
    </row>
    <row r="139" spans="1:7" x14ac:dyDescent="0.35">
      <c r="A139" s="33">
        <v>45605</v>
      </c>
      <c r="B139" s="34">
        <v>1</v>
      </c>
      <c r="E139" s="27"/>
      <c r="F139" s="28"/>
      <c r="G139" s="29"/>
    </row>
    <row r="140" spans="1:7" x14ac:dyDescent="0.35">
      <c r="A140" s="33">
        <v>45606</v>
      </c>
      <c r="B140" s="34">
        <v>1</v>
      </c>
      <c r="E140" s="27"/>
      <c r="F140" s="28"/>
      <c r="G140" s="29"/>
    </row>
    <row r="141" spans="1:7" x14ac:dyDescent="0.35">
      <c r="A141" s="33">
        <v>45607</v>
      </c>
      <c r="B141" s="34">
        <v>1</v>
      </c>
    </row>
    <row r="142" spans="1:7" x14ac:dyDescent="0.35">
      <c r="A142" s="33">
        <v>45608</v>
      </c>
      <c r="B142" s="34">
        <v>1</v>
      </c>
    </row>
    <row r="143" spans="1:7" x14ac:dyDescent="0.35">
      <c r="A143" s="33">
        <v>45609</v>
      </c>
      <c r="B143" s="34">
        <v>1</v>
      </c>
    </row>
    <row r="144" spans="1:7" x14ac:dyDescent="0.35">
      <c r="A144" s="33">
        <v>45610</v>
      </c>
      <c r="B144" s="34">
        <v>1</v>
      </c>
    </row>
    <row r="145" spans="1:2" x14ac:dyDescent="0.35">
      <c r="A145" s="33">
        <v>45611</v>
      </c>
      <c r="B145" s="34">
        <v>1</v>
      </c>
    </row>
    <row r="146" spans="1:2" x14ac:dyDescent="0.35">
      <c r="A146" s="33">
        <v>45612</v>
      </c>
      <c r="B146" s="34">
        <v>1</v>
      </c>
    </row>
    <row r="147" spans="1:2" x14ac:dyDescent="0.35">
      <c r="A147" s="33">
        <v>45613</v>
      </c>
      <c r="B147" s="34">
        <v>1</v>
      </c>
    </row>
    <row r="148" spans="1:2" x14ac:dyDescent="0.35">
      <c r="A148" s="33">
        <v>45614</v>
      </c>
      <c r="B148" s="34">
        <v>1</v>
      </c>
    </row>
    <row r="149" spans="1:2" x14ac:dyDescent="0.35">
      <c r="A149" s="33">
        <v>45615</v>
      </c>
      <c r="B149" s="34">
        <v>1</v>
      </c>
    </row>
    <row r="150" spans="1:2" x14ac:dyDescent="0.35">
      <c r="A150" s="33">
        <v>45616</v>
      </c>
      <c r="B150" s="34">
        <v>1</v>
      </c>
    </row>
    <row r="151" spans="1:2" x14ac:dyDescent="0.35">
      <c r="A151" s="33">
        <v>45617</v>
      </c>
      <c r="B151" s="34">
        <v>1</v>
      </c>
    </row>
    <row r="152" spans="1:2" x14ac:dyDescent="0.35">
      <c r="A152" s="33">
        <v>45618</v>
      </c>
      <c r="B152" s="34">
        <v>1</v>
      </c>
    </row>
    <row r="153" spans="1:2" x14ac:dyDescent="0.35">
      <c r="A153" s="33">
        <v>45619</v>
      </c>
      <c r="B153" s="34">
        <v>1</v>
      </c>
    </row>
    <row r="154" spans="1:2" x14ac:dyDescent="0.35">
      <c r="A154" s="33">
        <v>45620</v>
      </c>
      <c r="B154" s="34">
        <v>1</v>
      </c>
    </row>
    <row r="155" spans="1:2" x14ac:dyDescent="0.35">
      <c r="A155" s="33">
        <v>45621</v>
      </c>
      <c r="B155" s="34">
        <v>1</v>
      </c>
    </row>
    <row r="156" spans="1:2" x14ac:dyDescent="0.35">
      <c r="A156" s="33"/>
      <c r="B156" s="34"/>
    </row>
    <row r="157" spans="1:2" x14ac:dyDescent="0.35">
      <c r="A157" s="33"/>
      <c r="B157" s="34"/>
    </row>
    <row r="158" spans="1:2" x14ac:dyDescent="0.35">
      <c r="A158" s="33"/>
      <c r="B158" s="34"/>
    </row>
    <row r="159" spans="1:2" x14ac:dyDescent="0.35">
      <c r="A159" s="33"/>
    </row>
    <row r="160" spans="1:2" x14ac:dyDescent="0.35">
      <c r="A160" s="33"/>
    </row>
    <row r="161" spans="1:1" x14ac:dyDescent="0.35">
      <c r="A161" s="33"/>
    </row>
    <row r="162" spans="1:1" x14ac:dyDescent="0.35">
      <c r="A162" s="33"/>
    </row>
    <row r="163" spans="1:1" x14ac:dyDescent="0.35">
      <c r="A163" s="33"/>
    </row>
    <row r="164" spans="1:1" x14ac:dyDescent="0.35">
      <c r="A164" s="33"/>
    </row>
    <row r="165" spans="1:1" x14ac:dyDescent="0.35">
      <c r="A165" s="33"/>
    </row>
    <row r="166" spans="1:1" x14ac:dyDescent="0.35">
      <c r="A166" s="33"/>
    </row>
    <row r="167" spans="1:1" x14ac:dyDescent="0.35">
      <c r="A167" s="33"/>
    </row>
    <row r="168" spans="1:1" x14ac:dyDescent="0.35">
      <c r="A168" s="33"/>
    </row>
    <row r="169" spans="1:1" x14ac:dyDescent="0.35">
      <c r="A169" s="33"/>
    </row>
    <row r="170" spans="1:1" x14ac:dyDescent="0.35">
      <c r="A170" s="33"/>
    </row>
    <row r="171" spans="1:1" x14ac:dyDescent="0.35">
      <c r="A171" s="33"/>
    </row>
    <row r="172" spans="1:1" x14ac:dyDescent="0.35">
      <c r="A172" s="33"/>
    </row>
    <row r="173" spans="1:1" x14ac:dyDescent="0.35">
      <c r="A173" s="33"/>
    </row>
    <row r="174" spans="1:1" x14ac:dyDescent="0.35">
      <c r="A174" s="33"/>
    </row>
    <row r="175" spans="1:1" x14ac:dyDescent="0.35">
      <c r="A175" s="33"/>
    </row>
    <row r="176" spans="1:1" x14ac:dyDescent="0.35">
      <c r="A176" s="33"/>
    </row>
    <row r="177" spans="1:2" x14ac:dyDescent="0.35">
      <c r="A177" s="33"/>
    </row>
    <row r="178" spans="1:2" x14ac:dyDescent="0.35">
      <c r="A178" s="33"/>
    </row>
    <row r="179" spans="1:2" x14ac:dyDescent="0.35">
      <c r="A179" s="33"/>
    </row>
    <row r="180" spans="1:2" x14ac:dyDescent="0.35">
      <c r="A180" s="33"/>
    </row>
    <row r="181" spans="1:2" x14ac:dyDescent="0.35">
      <c r="A181" s="33"/>
      <c r="B181" s="34"/>
    </row>
    <row r="182" spans="1:2" x14ac:dyDescent="0.35">
      <c r="A182" s="33"/>
    </row>
    <row r="183" spans="1:2" x14ac:dyDescent="0.35">
      <c r="A183" s="33"/>
    </row>
    <row r="184" spans="1:2" x14ac:dyDescent="0.35">
      <c r="A184" s="33"/>
    </row>
    <row r="185" spans="1:2" x14ac:dyDescent="0.35">
      <c r="A185" s="33"/>
      <c r="B185" s="34"/>
    </row>
    <row r="186" spans="1:2" x14ac:dyDescent="0.35">
      <c r="A186" s="33"/>
    </row>
    <row r="187" spans="1:2" x14ac:dyDescent="0.35">
      <c r="A187" s="33"/>
    </row>
    <row r="188" spans="1:2" x14ac:dyDescent="0.35">
      <c r="A188" s="33"/>
    </row>
    <row r="189" spans="1:2" x14ac:dyDescent="0.35">
      <c r="A189" s="33"/>
    </row>
    <row r="190" spans="1:2" x14ac:dyDescent="0.35">
      <c r="A190" s="33"/>
    </row>
    <row r="191" spans="1:2" x14ac:dyDescent="0.35">
      <c r="A191" s="33"/>
    </row>
    <row r="192" spans="1:2" x14ac:dyDescent="0.35">
      <c r="A192" s="33"/>
    </row>
    <row r="193" spans="1:1" x14ac:dyDescent="0.35">
      <c r="A193" s="33"/>
    </row>
    <row r="194" spans="1:1" x14ac:dyDescent="0.35">
      <c r="A194" s="33"/>
    </row>
    <row r="195" spans="1:1" x14ac:dyDescent="0.35">
      <c r="A195" s="33"/>
    </row>
    <row r="196" spans="1:1" x14ac:dyDescent="0.35">
      <c r="A196" s="33"/>
    </row>
    <row r="197" spans="1:1" x14ac:dyDescent="0.35">
      <c r="A197" s="33"/>
    </row>
    <row r="198" spans="1:1" x14ac:dyDescent="0.35">
      <c r="A198" s="33"/>
    </row>
    <row r="199" spans="1:1" x14ac:dyDescent="0.35">
      <c r="A199" s="33"/>
    </row>
    <row r="200" spans="1:1" x14ac:dyDescent="0.35">
      <c r="A200" s="33"/>
    </row>
    <row r="201" spans="1:1" x14ac:dyDescent="0.35">
      <c r="A201" s="33"/>
    </row>
    <row r="202" spans="1:1" x14ac:dyDescent="0.35">
      <c r="A202" s="33"/>
    </row>
    <row r="242" spans="2:2" x14ac:dyDescent="0.35">
      <c r="B242" s="34"/>
    </row>
    <row r="243" spans="2:2" x14ac:dyDescent="0.35">
      <c r="B243" s="34"/>
    </row>
    <row r="244" spans="2:2" x14ac:dyDescent="0.35">
      <c r="B244" s="34"/>
    </row>
    <row r="245" spans="2:2" x14ac:dyDescent="0.35">
      <c r="B245" s="34"/>
    </row>
    <row r="246" spans="2:2" x14ac:dyDescent="0.35">
      <c r="B246" s="34"/>
    </row>
    <row r="247" spans="2:2" x14ac:dyDescent="0.35">
      <c r="B247" s="34"/>
    </row>
    <row r="248" spans="2:2" x14ac:dyDescent="0.35">
      <c r="B248" s="34"/>
    </row>
    <row r="249" spans="2:2" x14ac:dyDescent="0.35">
      <c r="B249" s="34"/>
    </row>
    <row r="250" spans="2:2" x14ac:dyDescent="0.35">
      <c r="B250" s="34"/>
    </row>
    <row r="252" spans="2:2" x14ac:dyDescent="0.35">
      <c r="B252" s="34"/>
    </row>
    <row r="254" spans="2:2" x14ac:dyDescent="0.35">
      <c r="B254" s="34"/>
    </row>
    <row r="255" spans="2:2" x14ac:dyDescent="0.35">
      <c r="B255" s="34"/>
    </row>
    <row r="258" spans="2:2" x14ac:dyDescent="0.35">
      <c r="B258" s="34"/>
    </row>
    <row r="259" spans="2:2" x14ac:dyDescent="0.35">
      <c r="B259" s="34"/>
    </row>
    <row r="260" spans="2:2" x14ac:dyDescent="0.35">
      <c r="B260" s="34"/>
    </row>
    <row r="261" spans="2:2" x14ac:dyDescent="0.35">
      <c r="B261" s="34"/>
    </row>
    <row r="262" spans="2:2" x14ac:dyDescent="0.35">
      <c r="B262" s="34"/>
    </row>
    <row r="263" spans="2:2" x14ac:dyDescent="0.35">
      <c r="B263" s="34"/>
    </row>
    <row r="264" spans="2:2" x14ac:dyDescent="0.35">
      <c r="B264" s="34"/>
    </row>
    <row r="265" spans="2:2" x14ac:dyDescent="0.35">
      <c r="B265" s="34"/>
    </row>
    <row r="266" spans="2:2" x14ac:dyDescent="0.35">
      <c r="B266" s="34"/>
    </row>
    <row r="267" spans="2:2" x14ac:dyDescent="0.35">
      <c r="B267" s="34"/>
    </row>
    <row r="268" spans="2:2" x14ac:dyDescent="0.35">
      <c r="B268" s="34"/>
    </row>
  </sheetData>
  <sortState xmlns:xlrd2="http://schemas.microsoft.com/office/spreadsheetml/2017/richdata2" ref="A2:B15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65:B1048576" xr:uid="{00000000-0002-0000-0100-000000000000}">
      <formula1>0</formula1>
    </dataValidation>
    <dataValidation type="decimal" operator="greaterThan" showErrorMessage="1" errorTitle="Measurement Value" error="Only enter values larger than 0. If measurement value equals 0, substitute with 0.333333333." sqref="B2:B249" xr:uid="{00000000-0002-0000-0100-000001000000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J147"/>
  <sheetViews>
    <sheetView tabSelected="1" workbookViewId="0">
      <pane ySplit="1" topLeftCell="A2" activePane="bottomLeft" state="frozen"/>
      <selection pane="bottomLeft" activeCell="C17" sqref="C17"/>
    </sheetView>
  </sheetViews>
  <sheetFormatPr defaultRowHeight="14.5" x14ac:dyDescent="0.35"/>
  <cols>
    <col min="1" max="1" width="30.453125" style="33" customWidth="1"/>
    <col min="2" max="2" width="12" style="32" bestFit="1" customWidth="1"/>
    <col min="5" max="5" width="9.90625" bestFit="1" customWidth="1"/>
    <col min="7" max="7" width="15" bestFit="1" customWidth="1"/>
  </cols>
  <sheetData>
    <row r="1" spans="1:30" s="1" customFormat="1" x14ac:dyDescent="0.35">
      <c r="A1" s="40" t="s">
        <v>0</v>
      </c>
      <c r="B1" s="26" t="s">
        <v>2</v>
      </c>
    </row>
    <row r="2" spans="1:30" s="39" customFormat="1" x14ac:dyDescent="0.35">
      <c r="A2" s="41">
        <v>45516</v>
      </c>
      <c r="B2">
        <v>64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 x14ac:dyDescent="0.35">
      <c r="A3" s="41">
        <v>45524</v>
      </c>
      <c r="B3">
        <v>110</v>
      </c>
      <c r="E3" s="27"/>
      <c r="F3" s="28"/>
      <c r="G3" s="29"/>
    </row>
    <row r="4" spans="1:30" x14ac:dyDescent="0.35">
      <c r="A4" s="41">
        <v>45531</v>
      </c>
      <c r="B4">
        <v>205</v>
      </c>
      <c r="E4" s="27"/>
      <c r="F4" s="28"/>
      <c r="G4" s="29"/>
    </row>
    <row r="5" spans="1:30" x14ac:dyDescent="0.35">
      <c r="A5" s="41">
        <v>45538</v>
      </c>
      <c r="B5">
        <v>107</v>
      </c>
      <c r="E5" s="27"/>
      <c r="F5" s="28"/>
      <c r="G5" s="29"/>
    </row>
    <row r="6" spans="1:30" x14ac:dyDescent="0.35">
      <c r="A6" s="41">
        <v>45546</v>
      </c>
      <c r="B6">
        <v>0</v>
      </c>
      <c r="E6" s="27"/>
      <c r="F6" s="28"/>
      <c r="G6" s="29"/>
    </row>
    <row r="7" spans="1:30" x14ac:dyDescent="0.35">
      <c r="A7" s="41">
        <v>45553</v>
      </c>
      <c r="B7">
        <v>27</v>
      </c>
      <c r="E7" s="27"/>
      <c r="F7" s="28"/>
      <c r="G7" s="29"/>
    </row>
    <row r="8" spans="1:30" x14ac:dyDescent="0.35">
      <c r="A8" s="41">
        <v>45561</v>
      </c>
      <c r="B8">
        <v>11</v>
      </c>
      <c r="E8" s="27"/>
      <c r="F8" s="28"/>
      <c r="G8" s="29"/>
    </row>
    <row r="9" spans="1:30" x14ac:dyDescent="0.35">
      <c r="A9" s="41">
        <v>45566</v>
      </c>
      <c r="B9">
        <v>14</v>
      </c>
      <c r="E9" s="27"/>
      <c r="F9" s="28"/>
      <c r="G9" s="29"/>
    </row>
    <row r="10" spans="1:30" x14ac:dyDescent="0.35">
      <c r="A10" s="41">
        <v>45574</v>
      </c>
      <c r="B10">
        <v>73</v>
      </c>
      <c r="E10" s="27"/>
      <c r="F10" s="28"/>
      <c r="G10" s="29"/>
    </row>
    <row r="11" spans="1:30" x14ac:dyDescent="0.35">
      <c r="A11" s="41">
        <v>45581</v>
      </c>
      <c r="B11">
        <v>0</v>
      </c>
      <c r="E11" s="27"/>
      <c r="F11" s="28"/>
      <c r="G11" s="29"/>
    </row>
    <row r="12" spans="1:30" x14ac:dyDescent="0.35">
      <c r="A12" s="41">
        <v>45588</v>
      </c>
      <c r="B12">
        <v>23</v>
      </c>
      <c r="E12" s="27"/>
      <c r="F12" s="28"/>
      <c r="G12" s="29"/>
    </row>
    <row r="13" spans="1:30" x14ac:dyDescent="0.35">
      <c r="A13" s="41">
        <v>45594</v>
      </c>
      <c r="B13">
        <v>143</v>
      </c>
      <c r="E13" s="27"/>
      <c r="F13" s="28"/>
      <c r="G13" s="29"/>
    </row>
    <row r="14" spans="1:30" x14ac:dyDescent="0.35">
      <c r="A14" s="41">
        <v>45601</v>
      </c>
      <c r="B14">
        <v>0</v>
      </c>
      <c r="E14" s="27"/>
      <c r="F14" s="28"/>
      <c r="G14" s="29"/>
    </row>
    <row r="15" spans="1:30" x14ac:dyDescent="0.35">
      <c r="A15" s="41">
        <v>45608</v>
      </c>
      <c r="B15">
        <v>26</v>
      </c>
      <c r="E15" s="27"/>
      <c r="F15" s="28"/>
      <c r="G15" s="29"/>
    </row>
    <row r="16" spans="1:30" x14ac:dyDescent="0.35">
      <c r="E16" s="27"/>
      <c r="F16" s="28"/>
      <c r="G16" s="29"/>
    </row>
    <row r="19" spans="1:62" s="39" customFormat="1" x14ac:dyDescent="0.35">
      <c r="A19" s="33"/>
      <c r="B19" s="32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1" spans="1:62" x14ac:dyDescent="0.35">
      <c r="E21" s="27"/>
      <c r="F21" s="28"/>
      <c r="G21" s="29"/>
    </row>
    <row r="22" spans="1:62" x14ac:dyDescent="0.35">
      <c r="B22" s="42"/>
      <c r="C22" s="43"/>
      <c r="D22" s="43"/>
      <c r="E22" s="27"/>
      <c r="F22" s="43"/>
      <c r="G22" s="29"/>
    </row>
    <row r="23" spans="1:62" x14ac:dyDescent="0.35">
      <c r="E23" s="27"/>
      <c r="F23" s="28"/>
      <c r="G23" s="29"/>
    </row>
    <row r="24" spans="1:62" x14ac:dyDescent="0.35">
      <c r="E24" s="27"/>
      <c r="F24" s="28"/>
      <c r="G24" s="29"/>
    </row>
    <row r="25" spans="1:62" x14ac:dyDescent="0.35">
      <c r="E25" s="27"/>
      <c r="F25" s="28"/>
      <c r="G25" s="29"/>
    </row>
    <row r="26" spans="1:62" x14ac:dyDescent="0.35">
      <c r="E26" s="27"/>
      <c r="F26" s="28"/>
      <c r="G26" s="29"/>
    </row>
    <row r="27" spans="1:62" x14ac:dyDescent="0.35">
      <c r="E27" s="27"/>
      <c r="F27" s="28"/>
      <c r="G27" s="29"/>
    </row>
    <row r="28" spans="1:62" x14ac:dyDescent="0.35">
      <c r="E28" s="27"/>
      <c r="F28" s="28"/>
      <c r="G28" s="29"/>
    </row>
    <row r="29" spans="1:62" x14ac:dyDescent="0.35">
      <c r="E29" s="27"/>
      <c r="F29" s="28"/>
      <c r="G29" s="29"/>
    </row>
    <row r="30" spans="1:62" x14ac:dyDescent="0.35">
      <c r="E30" s="27"/>
      <c r="F30" s="28"/>
      <c r="G30" s="29"/>
    </row>
    <row r="31" spans="1:62" x14ac:dyDescent="0.35">
      <c r="E31" s="27"/>
      <c r="F31" s="28"/>
      <c r="G31" s="29"/>
    </row>
    <row r="32" spans="1:62" x14ac:dyDescent="0.35">
      <c r="E32" s="27"/>
      <c r="F32" s="28"/>
      <c r="G32" s="29"/>
    </row>
    <row r="33" spans="2:7" x14ac:dyDescent="0.35">
      <c r="E33" s="27"/>
      <c r="F33" s="28"/>
      <c r="G33" s="29"/>
    </row>
    <row r="34" spans="2:7" x14ac:dyDescent="0.35">
      <c r="E34" s="27"/>
      <c r="F34" s="28"/>
      <c r="G34" s="29"/>
    </row>
    <row r="35" spans="2:7" x14ac:dyDescent="0.35">
      <c r="E35" s="27"/>
      <c r="F35" s="28"/>
      <c r="G35" s="29"/>
    </row>
    <row r="36" spans="2:7" x14ac:dyDescent="0.35">
      <c r="E36" s="27"/>
      <c r="F36" s="28"/>
      <c r="G36" s="29"/>
    </row>
    <row r="37" spans="2:7" x14ac:dyDescent="0.35">
      <c r="E37" s="27"/>
      <c r="F37" s="28"/>
      <c r="G37" s="29"/>
    </row>
    <row r="38" spans="2:7" x14ac:dyDescent="0.35">
      <c r="E38" s="27"/>
      <c r="F38" s="28"/>
      <c r="G38" s="29"/>
    </row>
    <row r="39" spans="2:7" x14ac:dyDescent="0.35">
      <c r="E39" s="27"/>
      <c r="F39" s="28"/>
      <c r="G39" s="29"/>
    </row>
    <row r="40" spans="2:7" x14ac:dyDescent="0.35">
      <c r="E40" s="27"/>
      <c r="F40" s="28"/>
      <c r="G40" s="29"/>
    </row>
    <row r="41" spans="2:7" x14ac:dyDescent="0.35">
      <c r="E41" s="27"/>
      <c r="F41" s="28"/>
      <c r="G41" s="29"/>
    </row>
    <row r="42" spans="2:7" x14ac:dyDescent="0.35">
      <c r="B42" s="34"/>
      <c r="E42" s="27"/>
      <c r="F42" s="28"/>
      <c r="G42" s="29"/>
    </row>
    <row r="43" spans="2:7" x14ac:dyDescent="0.35">
      <c r="B43" s="34"/>
      <c r="E43" s="27"/>
      <c r="F43" s="28"/>
      <c r="G43" s="29"/>
    </row>
    <row r="44" spans="2:7" x14ac:dyDescent="0.35">
      <c r="B44" s="34"/>
      <c r="E44" s="27"/>
      <c r="F44" s="28"/>
      <c r="G44" s="29"/>
    </row>
    <row r="45" spans="2:7" x14ac:dyDescent="0.35">
      <c r="B45" s="34"/>
      <c r="E45" s="27"/>
      <c r="F45" s="28"/>
      <c r="G45" s="29"/>
    </row>
    <row r="46" spans="2:7" x14ac:dyDescent="0.35">
      <c r="B46" s="34"/>
      <c r="E46" s="27"/>
      <c r="F46" s="28"/>
      <c r="G46" s="29"/>
    </row>
    <row r="47" spans="2:7" x14ac:dyDescent="0.35">
      <c r="B47" s="34"/>
      <c r="E47" s="27"/>
      <c r="F47" s="28"/>
      <c r="G47" s="29"/>
    </row>
    <row r="48" spans="2:7" x14ac:dyDescent="0.35">
      <c r="B48" s="34"/>
      <c r="E48" s="27"/>
      <c r="F48" s="28"/>
      <c r="G48" s="29"/>
    </row>
    <row r="49" spans="2:7" x14ac:dyDescent="0.35">
      <c r="B49" s="34"/>
      <c r="E49" s="27"/>
      <c r="F49" s="28"/>
      <c r="G49" s="29"/>
    </row>
    <row r="50" spans="2:7" x14ac:dyDescent="0.35">
      <c r="B50" s="34"/>
      <c r="E50" s="27"/>
      <c r="F50" s="28"/>
      <c r="G50" s="29"/>
    </row>
    <row r="51" spans="2:7" x14ac:dyDescent="0.35">
      <c r="B51" s="34"/>
      <c r="E51" s="27"/>
      <c r="F51" s="28"/>
      <c r="G51" s="29"/>
    </row>
    <row r="52" spans="2:7" x14ac:dyDescent="0.35">
      <c r="B52" s="34"/>
      <c r="E52" s="27"/>
      <c r="F52" s="28"/>
      <c r="G52" s="29"/>
    </row>
    <row r="53" spans="2:7" x14ac:dyDescent="0.35">
      <c r="B53" s="34"/>
      <c r="E53" s="27"/>
      <c r="F53" s="28"/>
      <c r="G53" s="29"/>
    </row>
    <row r="54" spans="2:7" x14ac:dyDescent="0.35">
      <c r="B54" s="34"/>
      <c r="E54" s="27"/>
      <c r="F54" s="28"/>
      <c r="G54" s="29"/>
    </row>
    <row r="55" spans="2:7" x14ac:dyDescent="0.35">
      <c r="B55" s="34"/>
      <c r="E55" s="27"/>
      <c r="F55" s="28"/>
      <c r="G55" s="29"/>
    </row>
    <row r="56" spans="2:7" x14ac:dyDescent="0.35">
      <c r="B56" s="34"/>
      <c r="E56" s="27"/>
      <c r="F56" s="28"/>
      <c r="G56" s="29"/>
    </row>
    <row r="57" spans="2:7" x14ac:dyDescent="0.35">
      <c r="B57" s="34"/>
      <c r="E57" s="27"/>
      <c r="F57" s="28"/>
      <c r="G57" s="29"/>
    </row>
    <row r="58" spans="2:7" x14ac:dyDescent="0.35">
      <c r="B58" s="34"/>
      <c r="E58" s="27"/>
      <c r="F58" s="28"/>
      <c r="G58" s="29"/>
    </row>
    <row r="59" spans="2:7" x14ac:dyDescent="0.35">
      <c r="B59" s="34"/>
      <c r="E59" s="27"/>
      <c r="F59" s="28"/>
      <c r="G59" s="29"/>
    </row>
    <row r="60" spans="2:7" x14ac:dyDescent="0.35">
      <c r="B60" s="34"/>
      <c r="E60" s="27"/>
      <c r="F60" s="28"/>
      <c r="G60" s="29"/>
    </row>
    <row r="61" spans="2:7" x14ac:dyDescent="0.35">
      <c r="B61" s="34"/>
      <c r="E61" s="27"/>
      <c r="F61" s="28"/>
      <c r="G61" s="29"/>
    </row>
    <row r="62" spans="2:7" x14ac:dyDescent="0.35">
      <c r="B62" s="34"/>
      <c r="E62" s="27"/>
      <c r="F62" s="28"/>
      <c r="G62" s="29"/>
    </row>
    <row r="63" spans="2:7" x14ac:dyDescent="0.35">
      <c r="B63" s="34"/>
      <c r="E63" s="27"/>
      <c r="F63" s="28"/>
      <c r="G63" s="29"/>
    </row>
    <row r="64" spans="2:7" x14ac:dyDescent="0.35">
      <c r="B64" s="36"/>
      <c r="E64" s="27"/>
      <c r="F64" s="28"/>
      <c r="G64" s="29"/>
    </row>
    <row r="65" spans="2:7" x14ac:dyDescent="0.35">
      <c r="B65" s="34"/>
      <c r="E65" s="27"/>
      <c r="F65" s="28"/>
      <c r="G65" s="29"/>
    </row>
    <row r="66" spans="2:7" x14ac:dyDescent="0.35">
      <c r="B66" s="36"/>
      <c r="E66" s="27"/>
      <c r="F66" s="28"/>
      <c r="G66" s="29"/>
    </row>
    <row r="67" spans="2:7" x14ac:dyDescent="0.35">
      <c r="B67" s="34"/>
      <c r="E67" s="27"/>
      <c r="F67" s="28"/>
      <c r="G67" s="29"/>
    </row>
    <row r="68" spans="2:7" x14ac:dyDescent="0.35">
      <c r="B68" s="36"/>
      <c r="E68" s="27"/>
      <c r="F68" s="28"/>
      <c r="G68" s="29"/>
    </row>
    <row r="69" spans="2:7" x14ac:dyDescent="0.35">
      <c r="B69" s="34"/>
      <c r="E69" s="27"/>
      <c r="F69" s="28"/>
      <c r="G69" s="29"/>
    </row>
    <row r="70" spans="2:7" x14ac:dyDescent="0.35">
      <c r="B70" s="36"/>
      <c r="E70" s="27"/>
      <c r="F70" s="28"/>
      <c r="G70" s="29"/>
    </row>
    <row r="71" spans="2:7" x14ac:dyDescent="0.35">
      <c r="B71" s="34"/>
      <c r="E71" s="27"/>
      <c r="F71" s="28"/>
      <c r="G71" s="29"/>
    </row>
    <row r="72" spans="2:7" x14ac:dyDescent="0.35">
      <c r="B72" s="36"/>
      <c r="E72" s="27"/>
      <c r="F72" s="28"/>
      <c r="G72" s="29"/>
    </row>
    <row r="73" spans="2:7" x14ac:dyDescent="0.35">
      <c r="B73" s="34"/>
      <c r="E73" s="27"/>
      <c r="F73" s="28"/>
      <c r="G73" s="29"/>
    </row>
    <row r="74" spans="2:7" x14ac:dyDescent="0.35">
      <c r="B74" s="36"/>
      <c r="E74" s="27"/>
      <c r="F74" s="28"/>
      <c r="G74" s="29"/>
    </row>
    <row r="75" spans="2:7" x14ac:dyDescent="0.35">
      <c r="B75" s="34"/>
      <c r="E75" s="27"/>
      <c r="F75" s="28"/>
      <c r="G75" s="29"/>
    </row>
    <row r="76" spans="2:7" x14ac:dyDescent="0.35">
      <c r="B76" s="36"/>
      <c r="E76" s="27"/>
      <c r="F76" s="28"/>
      <c r="G76" s="29"/>
    </row>
    <row r="77" spans="2:7" x14ac:dyDescent="0.35">
      <c r="B77" s="34"/>
      <c r="E77" s="27"/>
      <c r="F77" s="28"/>
      <c r="G77" s="29"/>
    </row>
    <row r="78" spans="2:7" x14ac:dyDescent="0.35">
      <c r="B78" s="36"/>
      <c r="E78" s="27"/>
      <c r="F78" s="28"/>
      <c r="G78" s="29"/>
    </row>
    <row r="79" spans="2:7" x14ac:dyDescent="0.35">
      <c r="B79" s="34"/>
      <c r="E79" s="27"/>
      <c r="F79" s="28"/>
      <c r="G79" s="29"/>
    </row>
    <row r="80" spans="2:7" x14ac:dyDescent="0.35">
      <c r="E80" s="27"/>
      <c r="F80" s="28"/>
      <c r="G80" s="29"/>
    </row>
    <row r="81" spans="2:7" x14ac:dyDescent="0.35">
      <c r="B81" s="34"/>
      <c r="E81" s="27"/>
      <c r="F81" s="28"/>
      <c r="G81" s="29"/>
    </row>
    <row r="82" spans="2:7" x14ac:dyDescent="0.35">
      <c r="B82" s="36"/>
      <c r="E82" s="27"/>
      <c r="F82" s="28"/>
      <c r="G82" s="29"/>
    </row>
    <row r="83" spans="2:7" x14ac:dyDescent="0.35">
      <c r="B83" s="34"/>
      <c r="E83" s="27"/>
      <c r="F83" s="28"/>
      <c r="G83" s="29"/>
    </row>
    <row r="84" spans="2:7" x14ac:dyDescent="0.35">
      <c r="B84" s="36"/>
      <c r="E84" s="27"/>
      <c r="F84" s="28"/>
      <c r="G84" s="29"/>
    </row>
    <row r="85" spans="2:7" x14ac:dyDescent="0.35">
      <c r="B85" s="34"/>
      <c r="E85" s="27"/>
      <c r="F85" s="28"/>
      <c r="G85" s="29"/>
    </row>
    <row r="86" spans="2:7" x14ac:dyDescent="0.35">
      <c r="B86" s="36"/>
      <c r="E86" s="27"/>
      <c r="F86" s="28"/>
      <c r="G86" s="29"/>
    </row>
    <row r="87" spans="2:7" x14ac:dyDescent="0.35">
      <c r="B87" s="34"/>
      <c r="E87" s="27"/>
      <c r="F87" s="28"/>
      <c r="G87" s="29"/>
    </row>
    <row r="88" spans="2:7" x14ac:dyDescent="0.35">
      <c r="B88" s="36"/>
      <c r="E88" s="27"/>
      <c r="F88" s="28"/>
      <c r="G88" s="29"/>
    </row>
    <row r="89" spans="2:7" x14ac:dyDescent="0.35">
      <c r="B89" s="34"/>
      <c r="E89" s="27"/>
      <c r="F89" s="28"/>
      <c r="G89" s="29"/>
    </row>
    <row r="90" spans="2:7" x14ac:dyDescent="0.35">
      <c r="E90" s="27"/>
      <c r="F90" s="28"/>
      <c r="G90" s="29"/>
    </row>
    <row r="91" spans="2:7" x14ac:dyDescent="0.35">
      <c r="B91" s="34"/>
      <c r="E91" s="27"/>
      <c r="F91" s="28"/>
      <c r="G91" s="29"/>
    </row>
    <row r="92" spans="2:7" x14ac:dyDescent="0.35">
      <c r="B92" s="36"/>
      <c r="E92" s="27"/>
      <c r="F92" s="28"/>
      <c r="G92" s="29"/>
    </row>
    <row r="93" spans="2:7" x14ac:dyDescent="0.35">
      <c r="B93" s="34"/>
      <c r="E93" s="27"/>
      <c r="F93" s="28"/>
      <c r="G93" s="29"/>
    </row>
    <row r="94" spans="2:7" x14ac:dyDescent="0.35">
      <c r="B94" s="36"/>
      <c r="E94" s="27"/>
      <c r="F94" s="28"/>
      <c r="G94" s="29"/>
    </row>
    <row r="95" spans="2:7" x14ac:dyDescent="0.35">
      <c r="B95" s="34"/>
      <c r="E95" s="27"/>
      <c r="F95" s="28"/>
      <c r="G95" s="29"/>
    </row>
    <row r="96" spans="2:7" x14ac:dyDescent="0.35">
      <c r="B96" s="34"/>
      <c r="E96" s="27"/>
      <c r="F96" s="28"/>
      <c r="G96" s="29"/>
    </row>
    <row r="97" spans="2:7" x14ac:dyDescent="0.35">
      <c r="B97" s="34"/>
      <c r="E97" s="27"/>
      <c r="F97" s="28"/>
      <c r="G97" s="29"/>
    </row>
    <row r="98" spans="2:7" x14ac:dyDescent="0.35">
      <c r="B98" s="34"/>
      <c r="E98" s="27"/>
      <c r="F98" s="28"/>
      <c r="G98" s="29"/>
    </row>
    <row r="99" spans="2:7" x14ac:dyDescent="0.35">
      <c r="B99" s="34"/>
      <c r="E99" s="27"/>
      <c r="F99" s="28"/>
      <c r="G99" s="29"/>
    </row>
    <row r="100" spans="2:7" x14ac:dyDescent="0.35">
      <c r="B100" s="34"/>
      <c r="E100" s="27"/>
      <c r="F100" s="28"/>
      <c r="G100" s="29"/>
    </row>
    <row r="101" spans="2:7" x14ac:dyDescent="0.35">
      <c r="B101"/>
      <c r="E101" s="27"/>
      <c r="F101" s="28"/>
      <c r="G101" s="29"/>
    </row>
    <row r="102" spans="2:7" x14ac:dyDescent="0.35">
      <c r="B102"/>
      <c r="E102" s="27"/>
      <c r="F102" s="28"/>
      <c r="G102" s="29"/>
    </row>
    <row r="103" spans="2:7" x14ac:dyDescent="0.35">
      <c r="B103"/>
      <c r="E103" s="27"/>
      <c r="F103" s="28"/>
      <c r="G103" s="29"/>
    </row>
    <row r="104" spans="2:7" x14ac:dyDescent="0.35">
      <c r="B104"/>
      <c r="E104" s="27"/>
      <c r="F104" s="28"/>
      <c r="G104" s="29"/>
    </row>
    <row r="105" spans="2:7" x14ac:dyDescent="0.35">
      <c r="B105" s="34"/>
      <c r="E105" s="27"/>
      <c r="F105" s="28"/>
      <c r="G105" s="29"/>
    </row>
    <row r="106" spans="2:7" x14ac:dyDescent="0.35">
      <c r="B106"/>
      <c r="E106" s="27"/>
      <c r="F106" s="28"/>
      <c r="G106" s="29"/>
    </row>
    <row r="107" spans="2:7" x14ac:dyDescent="0.35">
      <c r="B107"/>
      <c r="E107" s="27"/>
      <c r="F107" s="28"/>
      <c r="G107" s="29"/>
    </row>
    <row r="108" spans="2:7" x14ac:dyDescent="0.35">
      <c r="B108"/>
      <c r="E108" s="27"/>
      <c r="F108" s="28"/>
      <c r="G108" s="29"/>
    </row>
    <row r="109" spans="2:7" x14ac:dyDescent="0.35">
      <c r="B109" s="34"/>
      <c r="E109" s="27"/>
      <c r="F109" s="28"/>
      <c r="G109" s="29"/>
    </row>
    <row r="110" spans="2:7" x14ac:dyDescent="0.35">
      <c r="B110"/>
      <c r="E110" s="27"/>
      <c r="F110" s="28"/>
      <c r="G110" s="29"/>
    </row>
    <row r="111" spans="2:7" x14ac:dyDescent="0.35">
      <c r="B111"/>
      <c r="E111" s="27"/>
      <c r="F111" s="28"/>
      <c r="G111" s="29"/>
    </row>
    <row r="112" spans="2:7" x14ac:dyDescent="0.35">
      <c r="B112" s="34"/>
      <c r="E112" s="27"/>
      <c r="F112" s="28"/>
      <c r="G112" s="29"/>
    </row>
    <row r="113" spans="2:7" x14ac:dyDescent="0.35">
      <c r="B113" s="34"/>
      <c r="E113" s="27"/>
      <c r="F113" s="28"/>
      <c r="G113" s="29"/>
    </row>
    <row r="114" spans="2:7" x14ac:dyDescent="0.35">
      <c r="B114" s="34"/>
      <c r="E114" s="27"/>
      <c r="F114" s="28"/>
      <c r="G114" s="29"/>
    </row>
    <row r="115" spans="2:7" x14ac:dyDescent="0.35">
      <c r="B115" s="34"/>
    </row>
    <row r="116" spans="2:7" x14ac:dyDescent="0.35">
      <c r="B116" s="34"/>
    </row>
    <row r="117" spans="2:7" x14ac:dyDescent="0.35">
      <c r="B117" s="34"/>
    </row>
    <row r="118" spans="2:7" x14ac:dyDescent="0.35">
      <c r="B118" s="34"/>
    </row>
    <row r="119" spans="2:7" x14ac:dyDescent="0.35">
      <c r="B119" s="34"/>
    </row>
    <row r="120" spans="2:7" x14ac:dyDescent="0.35">
      <c r="B120" s="34"/>
    </row>
    <row r="121" spans="2:7" x14ac:dyDescent="0.35">
      <c r="B121" s="34"/>
    </row>
    <row r="122" spans="2:7" x14ac:dyDescent="0.35">
      <c r="B122" s="34"/>
    </row>
    <row r="123" spans="2:7" x14ac:dyDescent="0.35">
      <c r="B123" s="34"/>
    </row>
    <row r="124" spans="2:7" x14ac:dyDescent="0.35">
      <c r="B124" s="34"/>
    </row>
    <row r="125" spans="2:7" x14ac:dyDescent="0.35">
      <c r="B125"/>
    </row>
    <row r="126" spans="2:7" x14ac:dyDescent="0.35">
      <c r="B126"/>
    </row>
    <row r="127" spans="2:7" x14ac:dyDescent="0.35">
      <c r="B127"/>
    </row>
    <row r="128" spans="2:7" x14ac:dyDescent="0.35">
      <c r="B128" s="34"/>
    </row>
    <row r="129" spans="2:2" x14ac:dyDescent="0.35">
      <c r="B129" s="34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 s="34"/>
    </row>
    <row r="135" spans="2:2" x14ac:dyDescent="0.35">
      <c r="B135" s="34"/>
    </row>
    <row r="136" spans="2:2" x14ac:dyDescent="0.35">
      <c r="B136" s="37"/>
    </row>
    <row r="137" spans="2:2" x14ac:dyDescent="0.35">
      <c r="B137" s="37"/>
    </row>
    <row r="138" spans="2:2" x14ac:dyDescent="0.35">
      <c r="B138" s="37"/>
    </row>
    <row r="139" spans="2:2" x14ac:dyDescent="0.35">
      <c r="B139" s="34"/>
    </row>
    <row r="140" spans="2:2" x14ac:dyDescent="0.35">
      <c r="B140" s="37"/>
    </row>
    <row r="141" spans="2:2" x14ac:dyDescent="0.35">
      <c r="B141" s="34"/>
    </row>
    <row r="142" spans="2:2" x14ac:dyDescent="0.35">
      <c r="B142" s="37"/>
    </row>
    <row r="143" spans="2:2" x14ac:dyDescent="0.35">
      <c r="B143" s="37"/>
    </row>
    <row r="144" spans="2:2" x14ac:dyDescent="0.35">
      <c r="B144" s="37"/>
    </row>
    <row r="145" spans="2:2" x14ac:dyDescent="0.35">
      <c r="B145" s="34"/>
    </row>
    <row r="146" spans="2:2" x14ac:dyDescent="0.35">
      <c r="B146" s="34"/>
    </row>
    <row r="147" spans="2:2" x14ac:dyDescent="0.35">
      <c r="B147" s="34"/>
    </row>
  </sheetData>
  <sortState xmlns:xlrd2="http://schemas.microsoft.com/office/spreadsheetml/2017/richdata2" ref="A2:B15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80:B91 B114 B1 B93:B97 B122 B163:B164 B62:B63 B100 B109 B168:B1048576 B42:B47" xr:uid="{00000000-0002-0000-0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4cf795c-2367-4fd5-ad97-2ce55b22a6a2">
      <Terms xmlns="http://schemas.microsoft.com/office/infopath/2007/PartnerControls"/>
    </lcf76f155ced4ddcb4097134ff3c332f>
    <_Flow_SignoffStatus xmlns="34cf795c-2367-4fd5-ad97-2ce55b22a6a2" xsi:nil="true"/>
    <TaxCatchAll xmlns="a6e05537-0fbd-41cd-bda1-7142d082d70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6B6E73BE1E40468A7DDCC534874A78" ma:contentTypeVersion="16" ma:contentTypeDescription="Create a new document." ma:contentTypeScope="" ma:versionID="c80a216e26b2d3c40def2e4741c3a274">
  <xsd:schema xmlns:xsd="http://www.w3.org/2001/XMLSchema" xmlns:xs="http://www.w3.org/2001/XMLSchema" xmlns:p="http://schemas.microsoft.com/office/2006/metadata/properties" xmlns:ns2="34cf795c-2367-4fd5-ad97-2ce55b22a6a2" xmlns:ns3="a6e05537-0fbd-41cd-bda1-7142d082d70c" targetNamespace="http://schemas.microsoft.com/office/2006/metadata/properties" ma:root="true" ma:fieldsID="f2ea94a4e92f844117aaf1a5c0736fa3" ns2:_="" ns3:_="">
    <xsd:import namespace="34cf795c-2367-4fd5-ad97-2ce55b22a6a2"/>
    <xsd:import namespace="a6e05537-0fbd-41cd-bda1-7142d082d7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cf795c-2367-4fd5-ad97-2ce55b22a6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0b9dad4-8877-4382-917e-fe83f3164c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2" nillable="true" ma:displayName="Sign-off status" ma:internalName="Sign_x002d_off_x0020_status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05537-0fbd-41cd-bda1-7142d082d70c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534bc271-3c2d-4580-b351-6a3053dc8c37}" ma:internalName="TaxCatchAll" ma:showField="CatchAllData" ma:web="a6e05537-0fbd-41cd-bda1-7142d082d7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485FAE-525B-4A59-9A08-D05E875C24EC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d602efd0-98a8-4264-882b-5af550c3ef7a"/>
    <ds:schemaRef ds:uri="http://www.w3.org/XML/1998/namespace"/>
    <ds:schemaRef ds:uri="34cf795c-2367-4fd5-ad97-2ce55b22a6a2"/>
    <ds:schemaRef ds:uri="a6e05537-0fbd-41cd-bda1-7142d082d70c"/>
  </ds:schemaRefs>
</ds:datastoreItem>
</file>

<file path=customXml/itemProps2.xml><?xml version="1.0" encoding="utf-8"?>
<ds:datastoreItem xmlns:ds="http://schemas.openxmlformats.org/officeDocument/2006/customXml" ds:itemID="{8575BBA8-1616-4263-B83B-E4FD463F9C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cf795c-2367-4fd5-ad97-2ce55b22a6a2"/>
    <ds:schemaRef ds:uri="a6e05537-0fbd-41cd-bda1-7142d082d7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4085D22-9B79-4372-A474-71E3862776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Francois van Schalkwyk</cp:lastModifiedBy>
  <dcterms:created xsi:type="dcterms:W3CDTF">2020-07-02T09:36:36Z</dcterms:created>
  <dcterms:modified xsi:type="dcterms:W3CDTF">2024-11-29T11:31:34Z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0x010100786B6E73BE1E40468A7DDCC534874A78</vt:lpwstr>
  </property>
  <property fmtid="{D5CDD505-2E9C-101B-9397-08002B2CF9AE}" pid="3" name="MediaServiceImageTags">
    <vt:lpwstr/>
  </property>
</Properties>
</file>