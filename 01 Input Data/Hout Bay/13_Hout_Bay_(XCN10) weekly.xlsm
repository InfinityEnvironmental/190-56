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infinityenviro.sharepoint.com/sites/Projects/Shared Documents/190-56 Coastal WQ/02_Working Directory/01 Input Data/From CCT/"/>
    </mc:Choice>
  </mc:AlternateContent>
  <xr:revisionPtr revIDLastSave="299" documentId="11_28838CAD9D197E035457A3F5C0A1E9DAAD7010A1" xr6:coauthVersionLast="47" xr6:coauthVersionMax="47" xr10:uidLastSave="{B8783257-2ABF-4C6D-A823-51B3FDDBD13C}"/>
  <bookViews>
    <workbookView xWindow="-110" yWindow="-110" windowWidth="19420" windowHeight="10300" xr2:uid="{00000000-000D-0000-FFFF-FFFF00000000}"/>
  </bookViews>
  <sheets>
    <sheet name="Information" sheetId="40" r:id="rId1"/>
    <sheet name="Escherichia coli" sheetId="2" r:id="rId2"/>
    <sheet name="Faecal streptococci" sheetId="3" r:id="rId3"/>
    <sheet name="Faecal streptococci (2)" sheetId="41" r:id="rId4"/>
  </sheets>
  <definedNames>
    <definedName name="_xlnm._FilterDatabase" localSheetId="1" hidden="1">'Escherichia coli'!$A$1:$B$43</definedName>
    <definedName name="_xlnm._FilterDatabase" localSheetId="2" hidden="1">'Faecal streptococci'!$A$1:$B$48</definedName>
    <definedName name="_xlnm._FilterDatabase" localSheetId="3" hidden="1">'Faecal streptococci (2)'!$A$1:$B$56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2" i="41" l="1"/>
  <c r="B41" i="41"/>
  <c r="B40" i="41"/>
  <c r="B38" i="41"/>
  <c r="B34" i="41"/>
  <c r="B33" i="41"/>
  <c r="B30" i="41"/>
  <c r="B19" i="41"/>
  <c r="B16" i="41"/>
  <c r="B14" i="41"/>
  <c r="B10" i="41"/>
  <c r="B9" i="41"/>
  <c r="B7" i="41"/>
  <c r="B4" i="41"/>
  <c r="B2" i="41"/>
  <c r="B33" i="3" l="1"/>
  <c r="B32" i="3"/>
  <c r="B29" i="3"/>
  <c r="B25" i="3"/>
  <c r="B24" i="3"/>
  <c r="B31" i="3"/>
  <c r="B21" i="3" l="1"/>
  <c r="B10" i="3" l="1"/>
  <c r="B5" i="3" l="1"/>
  <c r="B7" i="3" l="1"/>
  <c r="D12" i="40" l="1"/>
  <c r="D11" i="40" l="1"/>
  <c r="D13" i="40" l="1"/>
  <c r="C19" i="40" s="1"/>
  <c r="D15" i="40" l="1"/>
  <c r="C18" i="40"/>
  <c r="D14" i="40"/>
</calcChain>
</file>

<file path=xl/sharedStrings.xml><?xml version="1.0" encoding="utf-8"?>
<sst xmlns="http://schemas.openxmlformats.org/spreadsheetml/2006/main" count="61" uniqueCount="25">
  <si>
    <t>Date</t>
  </si>
  <si>
    <t>Eco</t>
  </si>
  <si>
    <t>Fecal Strep</t>
  </si>
  <si>
    <t>Year Start Month</t>
  </si>
  <si>
    <t>Current Year</t>
  </si>
  <si>
    <t>Last 10 measurements</t>
  </si>
  <si>
    <t>Escherichia coli</t>
  </si>
  <si>
    <t>Faecal streptococci</t>
  </si>
  <si>
    <t>Latitude</t>
  </si>
  <si>
    <t>Longitude</t>
  </si>
  <si>
    <t>Today's Date</t>
  </si>
  <si>
    <t>1 Year Window</t>
  </si>
  <si>
    <t>5 Year Window</t>
  </si>
  <si>
    <t>Last measurement</t>
  </si>
  <si>
    <t>h95/h90</t>
  </si>
  <si>
    <t>Geographic Location</t>
  </si>
  <si>
    <t>365 day window</t>
  </si>
  <si>
    <t>Hout Bay</t>
  </si>
  <si>
    <t>Llandudno and Hout Bay</t>
  </si>
  <si>
    <t>1/-</t>
  </si>
  <si>
    <t>Excellent</t>
  </si>
  <si>
    <t>Poor</t>
  </si>
  <si>
    <t>4500/3771</t>
  </si>
  <si>
    <t>280/198</t>
  </si>
  <si>
    <t>Not Enough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</si>
</sst>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/mm\/yyyy/hh:mm"/>
    <numFmt numFmtId="165" formatCode="[$-F800]dddd\,\ mmmm\ dd\,\ yyyy"/>
    <numFmt numFmtId="166" formatCode="0.000"/>
    <numFmt numFmtId="167" formatCode="[$-F800]dddd\,/mmmm/dd\,/yyyy"/>
  </numFmts>
  <fonts count="6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rgb="FF3F3F76"/>
      <name val="Calibri"/>
      <family val="2"/>
      <scheme val="minor"/>
    </font>
    <font>
      <b/>
      <sz val="11"/>
      <color rgb="FF3F3F76"/>
      <name val="Calibri"/>
      <family val="2"/>
      <scheme val="minor"/>
    </font>
    <font>
      <b/>
      <sz val="16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42">
    <xf numFmtId="0" fontId="0" fillId="0" borderId="0" xfId="0"/>
    <xf numFmtId="0" fontId="2" fillId="0" borderId="0" xfId="0" applyFont="1"/>
    <xf numFmtId="0" fontId="0" fillId="0" borderId="0" xfId="0" applyProtection="1">
      <protection locked="0"/>
    </xf>
    <xf numFmtId="166" fontId="0" fillId="0" borderId="0" xfId="0" applyNumberFormat="1" applyProtection="1">
      <protection locked="0"/>
    </xf>
    <xf numFmtId="0" fontId="2" fillId="4" borderId="0" xfId="0" applyFont="1" applyFill="1" applyAlignment="1">
      <alignment horizontal="right"/>
    </xf>
    <xf numFmtId="0" fontId="0" fillId="4" borderId="0" xfId="0" applyFill="1" applyProtection="1"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0" fillId="4" borderId="0" xfId="0" applyFill="1" applyAlignment="1" applyProtection="1">
      <alignment vertical="top" wrapText="1"/>
      <protection locked="0"/>
    </xf>
    <xf numFmtId="0" fontId="0" fillId="4" borderId="0" xfId="0" applyFill="1" applyAlignment="1" applyProtection="1">
      <alignment vertical="center" wrapText="1"/>
      <protection locked="0"/>
    </xf>
    <xf numFmtId="0" fontId="2" fillId="4" borderId="0" xfId="0" applyFont="1" applyFill="1" applyAlignment="1">
      <alignment horizontal="center"/>
    </xf>
    <xf numFmtId="166" fontId="0" fillId="4" borderId="0" xfId="0" applyNumberFormat="1" applyFill="1" applyProtection="1"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3" fillId="4" borderId="0" xfId="1" applyFont="1" applyFill="1" applyBorder="1" applyAlignment="1" applyProtection="1">
      <alignment horizontal="center"/>
      <protection locked="0"/>
    </xf>
    <xf numFmtId="0" fontId="0" fillId="4" borderId="4" xfId="0" applyFill="1" applyBorder="1" applyProtection="1">
      <protection locked="0"/>
    </xf>
    <xf numFmtId="0" fontId="0" fillId="0" borderId="4" xfId="0" applyBorder="1" applyProtection="1">
      <protection locked="0"/>
    </xf>
    <xf numFmtId="166" fontId="0" fillId="4" borderId="4" xfId="0" applyNumberFormat="1" applyFill="1" applyBorder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0" fillId="4" borderId="6" xfId="0" applyFill="1" applyBorder="1" applyProtection="1">
      <protection locked="0"/>
    </xf>
    <xf numFmtId="0" fontId="2" fillId="0" borderId="5" xfId="0" applyFont="1" applyBorder="1"/>
    <xf numFmtId="14" fontId="0" fillId="4" borderId="0" xfId="0" applyNumberFormat="1" applyFill="1" applyAlignment="1" applyProtection="1">
      <alignment vertical="center" wrapText="1"/>
      <protection locked="0"/>
    </xf>
    <xf numFmtId="14" fontId="0" fillId="0" borderId="0" xfId="0" applyNumberFormat="1" applyAlignment="1" applyProtection="1">
      <alignment vertical="center" wrapText="1"/>
      <protection locked="0"/>
    </xf>
    <xf numFmtId="0" fontId="2" fillId="4" borderId="0" xfId="0" applyFont="1" applyFill="1" applyAlignment="1" applyProtection="1">
      <alignment wrapText="1"/>
      <protection locked="0"/>
    </xf>
    <xf numFmtId="0" fontId="2" fillId="0" borderId="0" xfId="0" applyFont="1" applyAlignment="1" applyProtection="1">
      <alignment horizontal="center"/>
      <protection locked="0"/>
    </xf>
    <xf numFmtId="19" fontId="2" fillId="0" borderId="0" xfId="0" applyNumberFormat="1" applyFont="1" applyAlignment="1" applyProtection="1">
      <alignment horizontal="center"/>
      <protection locked="0"/>
    </xf>
    <xf numFmtId="0" fontId="0" fillId="4" borderId="0" xfId="0" applyFill="1" applyAlignment="1" applyProtection="1">
      <alignment horizontal="right"/>
      <protection locked="0"/>
    </xf>
    <xf numFmtId="0" fontId="2" fillId="4" borderId="2" xfId="0" applyFont="1" applyFill="1" applyBorder="1" applyAlignment="1">
      <alignment horizontal="center"/>
    </xf>
    <xf numFmtId="0" fontId="2" fillId="0" borderId="0" xfId="0" applyFont="1" applyAlignment="1">
      <alignment horizontal="center"/>
    </xf>
    <xf numFmtId="14" fontId="0" fillId="0" borderId="0" xfId="0" applyNumberFormat="1"/>
    <xf numFmtId="20" fontId="0" fillId="0" borderId="0" xfId="0" applyNumberFormat="1"/>
    <xf numFmtId="22" fontId="0" fillId="0" borderId="0" xfId="0" applyNumberFormat="1"/>
    <xf numFmtId="167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left"/>
    </xf>
    <xf numFmtId="164" fontId="2" fillId="0" borderId="0" xfId="0" applyNumberFormat="1" applyFont="1" applyAlignment="1">
      <alignment horizontal="center"/>
    </xf>
    <xf numFmtId="167" fontId="2" fillId="0" borderId="0" xfId="0" applyNumberFormat="1" applyFont="1" applyAlignment="1">
      <alignment horizontal="center"/>
    </xf>
    <xf numFmtId="15" fontId="0" fillId="0" borderId="0" xfId="0" applyNumberFormat="1"/>
    <xf numFmtId="1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0" fontId="3" fillId="2" borderId="0" xfId="1" applyFont="1" applyBorder="1" applyAlignment="1" applyProtection="1">
      <alignment horizontal="center"/>
      <protection locked="0"/>
    </xf>
    <xf numFmtId="0" fontId="4" fillId="2" borderId="0" xfId="1" applyFont="1" applyBorder="1" applyAlignment="1" applyProtection="1">
      <alignment horizontal="center" vertical="center"/>
      <protection locked="0"/>
    </xf>
  </cellXfs>
  <cellStyles count="2">
    <cellStyle name="Input" xfId="1" builtinId="20"/>
    <cellStyle name="Normal" xfId="0" builtinId="0"/>
  </cellStyles>
  <dxfs count="5">
    <dxf>
      <fill>
        <patternFill>
          <bgColor rgb="FFE89078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b/>
        <i val="0"/>
        <color rgb="FFFF0000"/>
      </font>
      <fill>
        <patternFill>
          <bgColor theme="0"/>
        </patternFill>
      </fill>
    </dxf>
  </dxfs>
  <tableStyles count="0" defaultTableStyle="TableStyleMedium2" defaultPivotStyle="PivotStyleLight16"/>
  <colors>
    <mruColors>
      <color rgb="FFE890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954541</xdr:colOff>
      <xdr:row>2</xdr:row>
      <xdr:rowOff>119358</xdr:rowOff>
    </xdr:from>
    <xdr:to>
      <xdr:col>7</xdr:col>
      <xdr:colOff>245610</xdr:colOff>
      <xdr:row>7</xdr:row>
      <xdr:rowOff>102839</xdr:rowOff>
    </xdr:to>
    <xdr:pic macro="[0]!Calculations">
      <xdr:nvPicPr>
        <xdr:cNvPr id="3" name="Picture 2" descr="CSIR-Logo - RAPDASA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54991" y="405108"/>
          <a:ext cx="1224644" cy="8502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790575</xdr:colOff>
      <xdr:row>8</xdr:row>
      <xdr:rowOff>76200</xdr:rowOff>
    </xdr:from>
    <xdr:to>
      <xdr:col>7</xdr:col>
      <xdr:colOff>504825</xdr:colOff>
      <xdr:row>12</xdr:row>
      <xdr:rowOff>47626</xdr:rowOff>
    </xdr:to>
    <xdr:pic>
      <xdr:nvPicPr>
        <xdr:cNvPr id="4" name="Picture 3" descr="https://cisp.cachefly.net/assets/articles/images/resized/0000824386_resized_cityofcapetownlogo1022.jp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9619" t="20211" r="6580" b="20296"/>
        <a:stretch/>
      </xdr:blipFill>
      <xdr:spPr bwMode="auto">
        <a:xfrm>
          <a:off x="4391025" y="1419225"/>
          <a:ext cx="1647825" cy="6381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4</xdr:row>
          <xdr:rowOff>101600</xdr:rowOff>
        </xdr:from>
        <xdr:to>
          <xdr:col>11</xdr:col>
          <xdr:colOff>38100</xdr:colOff>
          <xdr:row>7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Z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2"/>
  <dimension ref="A1:M100"/>
  <sheetViews>
    <sheetView tabSelected="1" topLeftCell="A17" zoomScaleNormal="100" workbookViewId="0">
      <selection activeCell="D31" sqref="D31"/>
    </sheetView>
  </sheetViews>
  <sheetFormatPr defaultRowHeight="14.5" x14ac:dyDescent="0.35"/>
  <cols>
    <col min="1" max="1" width="1.36328125" customWidth="1"/>
    <col min="2" max="2" width="2.6328125" customWidth="1"/>
    <col min="3" max="3" width="19.6328125" customWidth="1"/>
    <col min="4" max="4" width="19.36328125" customWidth="1"/>
    <col min="5" max="5" width="9.6328125" customWidth="1"/>
    <col min="6" max="6" width="18" bestFit="1" customWidth="1"/>
    <col min="7" max="7" width="9.6328125" customWidth="1"/>
    <col min="8" max="10" width="11.54296875" customWidth="1"/>
    <col min="11" max="11" width="9.54296875" bestFit="1" customWidth="1"/>
  </cols>
  <sheetData>
    <row r="1" spans="1:10" s="2" customFormat="1" ht="7.5" customHeight="1" x14ac:dyDescent="0.35">
      <c r="A1" s="5"/>
      <c r="B1" s="5"/>
      <c r="C1" s="6"/>
      <c r="D1" s="5"/>
      <c r="E1" s="5"/>
      <c r="F1" s="5"/>
      <c r="G1" s="5"/>
      <c r="H1" s="5"/>
    </row>
    <row r="2" spans="1:10" s="2" customFormat="1" x14ac:dyDescent="0.35">
      <c r="A2" s="5"/>
      <c r="B2" s="5"/>
      <c r="C2" s="6"/>
      <c r="D2" s="5"/>
      <c r="E2" s="5"/>
      <c r="F2" s="5"/>
      <c r="G2" s="5"/>
      <c r="H2" s="5"/>
    </row>
    <row r="3" spans="1:10" s="2" customFormat="1" ht="15" customHeight="1" x14ac:dyDescent="0.35">
      <c r="A3" s="5"/>
      <c r="B3" s="5"/>
      <c r="C3" s="40" t="s">
        <v>17</v>
      </c>
      <c r="D3" s="40"/>
      <c r="E3" s="40"/>
      <c r="F3" s="5"/>
      <c r="G3" s="5"/>
      <c r="H3" s="5"/>
    </row>
    <row r="4" spans="1:10" s="2" customFormat="1" ht="15" customHeight="1" x14ac:dyDescent="0.35">
      <c r="A4" s="5"/>
      <c r="B4" s="5"/>
      <c r="C4" s="40"/>
      <c r="D4" s="40"/>
      <c r="E4" s="40"/>
      <c r="F4" s="5"/>
      <c r="G4" s="5"/>
      <c r="H4" s="5"/>
    </row>
    <row r="5" spans="1:10" s="2" customFormat="1" ht="8.25" customHeight="1" x14ac:dyDescent="0.65">
      <c r="A5" s="5"/>
      <c r="B5" s="5"/>
      <c r="C5" s="12"/>
      <c r="D5" s="12"/>
      <c r="E5" s="12"/>
      <c r="F5" s="5"/>
      <c r="G5" s="5"/>
      <c r="H5" s="5"/>
    </row>
    <row r="6" spans="1:10" s="2" customFormat="1" ht="15" customHeight="1" x14ac:dyDescent="0.35">
      <c r="A6" s="5"/>
      <c r="B6" s="5"/>
      <c r="C6" s="4" t="s">
        <v>15</v>
      </c>
      <c r="D6" s="41" t="s">
        <v>18</v>
      </c>
      <c r="E6" s="41"/>
      <c r="F6" s="5"/>
      <c r="G6" s="5"/>
      <c r="H6" s="5"/>
    </row>
    <row r="7" spans="1:10" s="2" customFormat="1" ht="15" customHeight="1" x14ac:dyDescent="0.35">
      <c r="A7" s="5"/>
      <c r="B7" s="5"/>
      <c r="C7" s="4" t="s">
        <v>8</v>
      </c>
      <c r="D7" s="41"/>
      <c r="E7" s="41"/>
      <c r="F7" s="5"/>
      <c r="G7" s="5"/>
      <c r="H7" s="5"/>
    </row>
    <row r="8" spans="1:10" s="2" customFormat="1" ht="15" customHeight="1" x14ac:dyDescent="0.35">
      <c r="A8" s="5"/>
      <c r="B8" s="5"/>
      <c r="C8" s="4" t="s">
        <v>9</v>
      </c>
      <c r="D8" s="41"/>
      <c r="E8" s="41"/>
      <c r="F8" s="5"/>
      <c r="G8" s="5"/>
      <c r="H8" s="5"/>
    </row>
    <row r="9" spans="1:10" s="2" customFormat="1" ht="15" customHeight="1" x14ac:dyDescent="0.35">
      <c r="A9" s="5"/>
      <c r="B9" s="5"/>
      <c r="C9" s="4" t="s">
        <v>3</v>
      </c>
      <c r="D9" s="41">
        <v>12</v>
      </c>
      <c r="E9" s="41"/>
      <c r="F9" s="5"/>
      <c r="G9" s="5"/>
      <c r="H9" s="5"/>
    </row>
    <row r="10" spans="1:10" s="2" customFormat="1" ht="7.5" customHeight="1" x14ac:dyDescent="0.35">
      <c r="A10" s="5"/>
      <c r="B10" s="5"/>
      <c r="C10" s="9"/>
      <c r="D10" s="5"/>
      <c r="E10" s="5"/>
      <c r="F10" s="5"/>
      <c r="G10" s="5"/>
      <c r="H10" s="5"/>
    </row>
    <row r="11" spans="1:10" s="2" customFormat="1" ht="15" customHeight="1" x14ac:dyDescent="0.35">
      <c r="A11" s="5"/>
      <c r="B11" s="21"/>
      <c r="C11" s="4" t="s">
        <v>10</v>
      </c>
      <c r="D11" s="38">
        <f ca="1">TODAY()</f>
        <v>45625</v>
      </c>
      <c r="E11" s="38"/>
      <c r="F11" s="5"/>
      <c r="G11" s="5"/>
      <c r="H11" s="5"/>
    </row>
    <row r="12" spans="1:10" s="2" customFormat="1" ht="15" customHeight="1" x14ac:dyDescent="0.35">
      <c r="A12" s="5"/>
      <c r="B12" s="5"/>
      <c r="C12" s="4" t="s">
        <v>13</v>
      </c>
      <c r="D12" s="38">
        <f>MAX(MAX('Escherichia coli'!A:A),MAX('Faecal streptococci'!A:A))</f>
        <v>45621</v>
      </c>
      <c r="E12" s="38"/>
      <c r="F12" s="7"/>
      <c r="G12" s="5"/>
      <c r="H12" s="5"/>
    </row>
    <row r="13" spans="1:10" s="2" customFormat="1" ht="15" customHeight="1" x14ac:dyDescent="0.35">
      <c r="A13" s="5"/>
      <c r="B13" s="5"/>
      <c r="C13" s="4" t="s">
        <v>4</v>
      </c>
      <c r="D13" s="39">
        <f ca="1">YEAR(D11)+(MONTH(D11)&gt;=D9)</f>
        <v>2024</v>
      </c>
      <c r="E13" s="39"/>
      <c r="F13" s="8"/>
      <c r="G13" s="5"/>
      <c r="H13" s="5"/>
    </row>
    <row r="14" spans="1:10" s="2" customFormat="1" x14ac:dyDescent="0.35">
      <c r="A14" s="5"/>
      <c r="B14" s="5"/>
      <c r="C14" s="4" t="s">
        <v>11</v>
      </c>
      <c r="D14" s="38" t="str">
        <f ca="1">CONCATENATE(TEXT(DATE(D13-1,D9,1), "yyyy/mm/dd")," - ",TEXT(D11,"yyyy/mm/dd"))</f>
        <v>2023/12/01 - 2024/11/29</v>
      </c>
      <c r="E14" s="38"/>
      <c r="F14" s="19"/>
      <c r="G14" s="5"/>
      <c r="H14" s="5"/>
    </row>
    <row r="15" spans="1:10" s="2" customFormat="1" x14ac:dyDescent="0.35">
      <c r="A15" s="5"/>
      <c r="B15" s="5"/>
      <c r="C15" s="4" t="s">
        <v>12</v>
      </c>
      <c r="D15" s="38" t="str">
        <f ca="1">CONCATENATE(TEXT(DATE(D13-5,D9,1), "yyyy/mm/dd")," - ",TEXT(D11,"yyyy/mm/dd"))</f>
        <v>2019/12/01 - 2024/11/29</v>
      </c>
      <c r="E15" s="38"/>
      <c r="F15" s="19"/>
      <c r="G15" s="5"/>
      <c r="H15" s="5"/>
    </row>
    <row r="16" spans="1:10" s="2" customFormat="1" x14ac:dyDescent="0.35">
      <c r="A16" s="5"/>
      <c r="B16" s="5"/>
      <c r="C16" s="6"/>
      <c r="D16" s="5"/>
      <c r="E16" s="5"/>
      <c r="F16" s="6"/>
      <c r="G16" s="6"/>
      <c r="H16" s="6"/>
      <c r="I16" s="22"/>
      <c r="J16" s="23"/>
    </row>
    <row r="17" spans="1:13" s="2" customFormat="1" x14ac:dyDescent="0.35">
      <c r="A17" s="5"/>
      <c r="B17" s="5"/>
      <c r="C17" s="11"/>
      <c r="D17" s="1" t="s">
        <v>6</v>
      </c>
      <c r="E17" s="25" t="s">
        <v>14</v>
      </c>
      <c r="F17" s="18" t="s">
        <v>7</v>
      </c>
      <c r="G17" s="25" t="s">
        <v>14</v>
      </c>
      <c r="H17" s="6"/>
      <c r="I17" s="22"/>
      <c r="J17" s="22"/>
    </row>
    <row r="18" spans="1:13" s="2" customFormat="1" x14ac:dyDescent="0.35">
      <c r="A18" s="5"/>
      <c r="B18" s="5"/>
      <c r="C18" s="9" t="str">
        <f ca="1">CONCATENATE(D13," to date")</f>
        <v>2024 to date</v>
      </c>
      <c r="D18" s="17" t="s">
        <v>20</v>
      </c>
      <c r="E18" s="16" t="s">
        <v>19</v>
      </c>
      <c r="F18" s="13" t="s">
        <v>21</v>
      </c>
      <c r="G18" s="16" t="s">
        <v>22</v>
      </c>
      <c r="H18" s="10"/>
      <c r="I18" s="3"/>
    </row>
    <row r="19" spans="1:13" s="2" customFormat="1" x14ac:dyDescent="0.35">
      <c r="A19" s="5"/>
      <c r="B19" s="5"/>
      <c r="C19" s="9" t="str">
        <f ca="1">CONCATENATE(D13-5," - ",D13)</f>
        <v>2019 - 2024</v>
      </c>
      <c r="D19" s="13" t="s">
        <v>20</v>
      </c>
      <c r="E19" s="24" t="s">
        <v>19</v>
      </c>
      <c r="F19" s="13" t="s">
        <v>21</v>
      </c>
      <c r="G19" s="24" t="s">
        <v>22</v>
      </c>
      <c r="H19" s="10"/>
      <c r="I19" s="20"/>
      <c r="J19" s="3"/>
      <c r="K19" s="3"/>
      <c r="L19" s="3"/>
      <c r="M19" s="3"/>
    </row>
    <row r="20" spans="1:13" s="2" customFormat="1" x14ac:dyDescent="0.35">
      <c r="A20" s="5"/>
      <c r="B20" s="5"/>
      <c r="C20" s="9" t="s">
        <v>16</v>
      </c>
      <c r="D20" s="13" t="s">
        <v>20</v>
      </c>
      <c r="E20" s="24" t="s">
        <v>19</v>
      </c>
      <c r="F20" s="13" t="s">
        <v>21</v>
      </c>
      <c r="G20" s="24" t="s">
        <v>22</v>
      </c>
      <c r="H20" s="10"/>
      <c r="I20" s="3"/>
      <c r="J20" s="3"/>
      <c r="K20" s="3"/>
      <c r="L20" s="3"/>
      <c r="M20" s="3"/>
    </row>
    <row r="21" spans="1:13" s="2" customFormat="1" x14ac:dyDescent="0.35">
      <c r="A21" s="5"/>
      <c r="B21" s="5"/>
      <c r="C21" s="9" t="s">
        <v>5</v>
      </c>
      <c r="D21" s="13" t="s">
        <v>20</v>
      </c>
      <c r="E21" s="24" t="s">
        <v>19</v>
      </c>
      <c r="F21" s="13" t="s">
        <v>21</v>
      </c>
      <c r="G21" s="24" t="s">
        <v>23</v>
      </c>
      <c r="H21" s="10"/>
      <c r="I21" s="3"/>
      <c r="J21" s="3"/>
      <c r="K21" s="3"/>
      <c r="L21" s="3"/>
      <c r="M21" s="3"/>
    </row>
    <row r="22" spans="1:13" s="2" customFormat="1" x14ac:dyDescent="0.35">
      <c r="A22" s="5"/>
      <c r="B22" s="5"/>
      <c r="C22" s="11">
        <v>2024</v>
      </c>
      <c r="D22" s="5" t="s">
        <v>20</v>
      </c>
      <c r="E22" s="24" t="s">
        <v>19</v>
      </c>
      <c r="F22" s="13" t="s">
        <v>21</v>
      </c>
      <c r="G22" s="24" t="s">
        <v>22</v>
      </c>
      <c r="H22" s="10"/>
      <c r="I22" s="3"/>
      <c r="J22" s="3"/>
      <c r="K22" s="3"/>
      <c r="L22" s="3"/>
      <c r="M22" s="3"/>
    </row>
    <row r="23" spans="1:13" s="2" customFormat="1" x14ac:dyDescent="0.35">
      <c r="A23" s="5"/>
      <c r="B23" s="5"/>
      <c r="C23" s="11">
        <v>2023</v>
      </c>
      <c r="D23" s="5" t="s">
        <v>24</v>
      </c>
      <c r="E23" s="24"/>
      <c r="F23" s="13" t="s">
        <v>24</v>
      </c>
      <c r="G23" s="24"/>
      <c r="H23" s="10"/>
      <c r="I23" s="3"/>
      <c r="J23" s="3"/>
      <c r="K23" s="3"/>
      <c r="L23" s="3"/>
      <c r="M23" s="3"/>
    </row>
    <row r="24" spans="1:13" s="2" customFormat="1" x14ac:dyDescent="0.35">
      <c r="A24" s="5"/>
      <c r="B24" s="5"/>
      <c r="C24" s="11">
        <v>2021</v>
      </c>
      <c r="D24" s="5" t="s">
        <v>24</v>
      </c>
      <c r="E24" s="24"/>
      <c r="F24" s="13" t="s">
        <v>24</v>
      </c>
      <c r="G24" s="24"/>
      <c r="H24" s="10"/>
      <c r="I24" s="3"/>
      <c r="J24" s="3"/>
      <c r="K24" s="3"/>
      <c r="L24" s="3"/>
      <c r="M24" s="3"/>
    </row>
    <row r="25" spans="1:13" s="2" customFormat="1" x14ac:dyDescent="0.35">
      <c r="A25" s="5"/>
      <c r="B25" s="5"/>
      <c r="C25" s="11">
        <v>2020</v>
      </c>
      <c r="D25" s="5" t="s">
        <v>24</v>
      </c>
      <c r="E25" s="24"/>
      <c r="F25" s="13" t="s">
        <v>24</v>
      </c>
      <c r="G25" s="24"/>
      <c r="H25" s="10"/>
      <c r="I25" s="3"/>
      <c r="J25" s="3"/>
      <c r="K25" s="3"/>
      <c r="L25" s="3"/>
      <c r="M25" s="3"/>
    </row>
    <row r="26" spans="1:13" s="2" customFormat="1" x14ac:dyDescent="0.35">
      <c r="A26" s="5"/>
      <c r="B26" s="5"/>
      <c r="C26" s="11">
        <v>2019</v>
      </c>
      <c r="D26" s="2" t="s">
        <v>24</v>
      </c>
      <c r="E26" s="16"/>
      <c r="F26" s="14" t="s">
        <v>24</v>
      </c>
      <c r="G26" s="16"/>
      <c r="H26" s="10"/>
      <c r="I26" s="3"/>
      <c r="J26" s="3"/>
    </row>
    <row r="27" spans="1:13" s="2" customFormat="1" x14ac:dyDescent="0.35">
      <c r="A27" s="5"/>
      <c r="B27" s="5"/>
      <c r="C27" s="6">
        <v>2018</v>
      </c>
      <c r="D27" s="13" t="s">
        <v>24</v>
      </c>
      <c r="E27" s="5"/>
      <c r="F27" s="15" t="s">
        <v>24</v>
      </c>
      <c r="G27" s="10"/>
      <c r="H27" s="10"/>
      <c r="I27" s="3"/>
      <c r="J27" s="3"/>
    </row>
    <row r="28" spans="1:13" s="2" customFormat="1" x14ac:dyDescent="0.35">
      <c r="A28" s="5"/>
      <c r="B28" s="5"/>
      <c r="C28" s="5">
        <v>2017</v>
      </c>
      <c r="D28" s="13" t="s">
        <v>24</v>
      </c>
      <c r="E28" s="5"/>
      <c r="F28" s="15" t="s">
        <v>24</v>
      </c>
      <c r="G28" s="10"/>
      <c r="H28" s="10"/>
      <c r="I28" s="3"/>
      <c r="J28" s="3"/>
    </row>
    <row r="29" spans="1:13" s="2" customFormat="1" x14ac:dyDescent="0.35">
      <c r="A29" s="5"/>
      <c r="B29" s="5"/>
      <c r="C29" s="5">
        <v>2016</v>
      </c>
      <c r="D29" s="13" t="s">
        <v>24</v>
      </c>
      <c r="E29" s="5"/>
      <c r="F29" s="15" t="s">
        <v>24</v>
      </c>
      <c r="G29" s="10"/>
      <c r="H29" s="10"/>
      <c r="I29" s="3"/>
      <c r="J29" s="3"/>
    </row>
    <row r="30" spans="1:13" s="2" customFormat="1" x14ac:dyDescent="0.35">
      <c r="A30" s="5"/>
      <c r="B30" s="5"/>
      <c r="C30" s="5">
        <v>2015</v>
      </c>
      <c r="D30" s="13" t="s">
        <v>24</v>
      </c>
      <c r="E30" s="5"/>
      <c r="F30" s="15" t="s">
        <v>24</v>
      </c>
      <c r="G30" s="10"/>
      <c r="H30" s="10"/>
      <c r="I30" s="3"/>
      <c r="J30" s="3"/>
    </row>
    <row r="31" spans="1:13" s="2" customFormat="1" x14ac:dyDescent="0.35">
      <c r="A31" s="5"/>
      <c r="B31" s="5"/>
      <c r="C31" s="5">
        <v>2014</v>
      </c>
      <c r="D31" s="13" t="s">
        <v>24</v>
      </c>
      <c r="E31" s="5"/>
      <c r="F31" s="15" t="s">
        <v>24</v>
      </c>
      <c r="G31" s="10"/>
      <c r="H31" s="10"/>
      <c r="I31" s="3"/>
      <c r="J31" s="3"/>
    </row>
    <row r="32" spans="1:13" s="2" customFormat="1" x14ac:dyDescent="0.35">
      <c r="A32" s="5"/>
      <c r="B32" s="5"/>
      <c r="C32" s="5"/>
      <c r="D32" s="13"/>
      <c r="E32" s="5"/>
      <c r="F32" s="15"/>
      <c r="G32" s="10"/>
      <c r="H32" s="10"/>
      <c r="I32" s="3"/>
      <c r="J32" s="3"/>
    </row>
    <row r="33" spans="1:10" s="2" customFormat="1" x14ac:dyDescent="0.35">
      <c r="A33" s="5"/>
      <c r="B33" s="5"/>
      <c r="C33" s="5"/>
      <c r="D33" s="13"/>
      <c r="E33" s="5"/>
      <c r="F33" s="15"/>
      <c r="G33" s="10"/>
      <c r="H33" s="10"/>
      <c r="I33" s="3"/>
      <c r="J33" s="3"/>
    </row>
    <row r="34" spans="1:10" s="2" customFormat="1" x14ac:dyDescent="0.35">
      <c r="A34" s="5"/>
      <c r="B34" s="5"/>
      <c r="C34" s="5"/>
      <c r="D34" s="13"/>
      <c r="E34" s="5"/>
      <c r="F34" s="15"/>
      <c r="G34" s="10"/>
      <c r="H34" s="10"/>
      <c r="I34" s="3"/>
      <c r="J34" s="3"/>
    </row>
    <row r="35" spans="1:10" s="2" customFormat="1" x14ac:dyDescent="0.35">
      <c r="A35" s="5"/>
      <c r="B35" s="5"/>
      <c r="C35" s="5"/>
      <c r="D35" s="13"/>
      <c r="E35" s="5"/>
      <c r="F35" s="15"/>
      <c r="G35" s="10"/>
      <c r="H35" s="10"/>
      <c r="I35" s="3"/>
      <c r="J35" s="3"/>
    </row>
    <row r="36" spans="1:10" s="2" customFormat="1" x14ac:dyDescent="0.35">
      <c r="A36" s="5"/>
      <c r="B36" s="5"/>
      <c r="C36" s="5"/>
      <c r="D36" s="13"/>
      <c r="E36" s="5"/>
      <c r="F36" s="15"/>
      <c r="G36" s="10"/>
      <c r="H36" s="10"/>
      <c r="I36" s="3"/>
      <c r="J36" s="3"/>
    </row>
    <row r="37" spans="1:10" s="2" customFormat="1" x14ac:dyDescent="0.35">
      <c r="A37" s="5"/>
      <c r="B37" s="5"/>
      <c r="C37" s="5"/>
      <c r="D37" s="13"/>
      <c r="E37" s="5"/>
      <c r="F37" s="15"/>
      <c r="G37" s="10"/>
      <c r="H37" s="10"/>
      <c r="I37" s="3"/>
      <c r="J37" s="3"/>
    </row>
    <row r="38" spans="1:10" s="2" customFormat="1" x14ac:dyDescent="0.35">
      <c r="A38" s="5"/>
      <c r="B38" s="5"/>
      <c r="C38" s="5"/>
      <c r="D38" s="13"/>
      <c r="E38" s="5"/>
      <c r="F38" s="15"/>
      <c r="G38" s="10"/>
      <c r="H38" s="10"/>
      <c r="I38" s="3"/>
      <c r="J38" s="3"/>
    </row>
    <row r="39" spans="1:10" s="2" customFormat="1" x14ac:dyDescent="0.35">
      <c r="A39" s="5"/>
      <c r="B39" s="5"/>
      <c r="C39" s="5"/>
      <c r="D39" s="13"/>
      <c r="E39" s="5"/>
      <c r="F39" s="15"/>
      <c r="G39" s="10"/>
      <c r="H39" s="10"/>
      <c r="I39" s="3"/>
      <c r="J39" s="3"/>
    </row>
    <row r="40" spans="1:10" s="2" customFormat="1" x14ac:dyDescent="0.35">
      <c r="A40" s="5"/>
      <c r="B40" s="5"/>
      <c r="C40" s="5"/>
      <c r="D40" s="13"/>
      <c r="E40" s="5"/>
      <c r="F40" s="15"/>
      <c r="G40" s="10"/>
      <c r="H40" s="10"/>
      <c r="I40" s="3"/>
      <c r="J40" s="3"/>
    </row>
    <row r="41" spans="1:10" s="2" customFormat="1" x14ac:dyDescent="0.35">
      <c r="A41" s="5"/>
      <c r="B41" s="5"/>
      <c r="C41" s="5"/>
      <c r="D41" s="13"/>
      <c r="E41" s="5"/>
      <c r="F41" s="15"/>
      <c r="G41" s="10"/>
      <c r="H41" s="10"/>
      <c r="I41" s="3"/>
      <c r="J41" s="3"/>
    </row>
    <row r="42" spans="1:10" s="2" customFormat="1" x14ac:dyDescent="0.35">
      <c r="A42" s="5"/>
      <c r="B42" s="5"/>
      <c r="C42" s="5"/>
      <c r="D42" s="13"/>
      <c r="E42" s="5"/>
      <c r="F42" s="15"/>
      <c r="G42" s="10"/>
      <c r="H42" s="10"/>
      <c r="I42" s="3"/>
      <c r="J42" s="3"/>
    </row>
    <row r="43" spans="1:10" s="2" customFormat="1" x14ac:dyDescent="0.35">
      <c r="A43" s="5"/>
      <c r="B43" s="5"/>
      <c r="C43" s="5"/>
      <c r="D43" s="13"/>
      <c r="E43" s="5"/>
      <c r="F43" s="15"/>
      <c r="G43" s="10"/>
      <c r="H43" s="10"/>
      <c r="I43" s="3"/>
      <c r="J43" s="3"/>
    </row>
    <row r="44" spans="1:10" s="2" customFormat="1" x14ac:dyDescent="0.35">
      <c r="A44" s="5"/>
      <c r="B44" s="5"/>
      <c r="C44" s="5"/>
      <c r="D44" s="13"/>
      <c r="E44" s="5"/>
      <c r="F44" s="15"/>
      <c r="G44" s="10"/>
      <c r="H44" s="10"/>
      <c r="I44" s="3"/>
      <c r="J44" s="3"/>
    </row>
    <row r="45" spans="1:10" s="2" customFormat="1" x14ac:dyDescent="0.35">
      <c r="A45" s="5"/>
      <c r="B45" s="5"/>
      <c r="C45" s="5"/>
      <c r="D45" s="13"/>
      <c r="E45" s="5"/>
      <c r="F45" s="13"/>
      <c r="G45" s="5"/>
      <c r="H45" s="5"/>
    </row>
    <row r="46" spans="1:10" s="2" customFormat="1" x14ac:dyDescent="0.35">
      <c r="A46" s="5"/>
      <c r="B46" s="5"/>
      <c r="C46" s="5"/>
      <c r="D46" s="13"/>
      <c r="E46" s="5"/>
      <c r="F46" s="13"/>
      <c r="G46" s="5"/>
      <c r="H46" s="5"/>
    </row>
    <row r="47" spans="1:10" s="2" customFormat="1" x14ac:dyDescent="0.35">
      <c r="A47" s="5"/>
      <c r="B47" s="5"/>
      <c r="C47" s="5"/>
      <c r="D47" s="13"/>
      <c r="E47" s="5"/>
      <c r="F47" s="13"/>
      <c r="G47" s="5"/>
      <c r="H47" s="5"/>
    </row>
    <row r="48" spans="1:10" s="2" customFormat="1" x14ac:dyDescent="0.35">
      <c r="A48" s="5"/>
      <c r="B48" s="5"/>
      <c r="C48" s="5"/>
      <c r="D48" s="13"/>
      <c r="E48" s="5"/>
      <c r="F48" s="13"/>
      <c r="G48" s="5"/>
      <c r="H48" s="5"/>
    </row>
    <row r="49" spans="1:8" s="2" customFormat="1" x14ac:dyDescent="0.35">
      <c r="A49" s="5"/>
      <c r="B49" s="5"/>
      <c r="C49" s="5"/>
      <c r="D49" s="13"/>
      <c r="E49" s="5"/>
      <c r="F49" s="13"/>
      <c r="G49" s="5"/>
      <c r="H49" s="5"/>
    </row>
    <row r="50" spans="1:8" s="2" customFormat="1" x14ac:dyDescent="0.35">
      <c r="A50" s="5"/>
      <c r="B50" s="5"/>
      <c r="C50" s="5"/>
      <c r="D50" s="13"/>
      <c r="E50" s="5"/>
      <c r="F50" s="13"/>
      <c r="G50" s="5"/>
      <c r="H50" s="5"/>
    </row>
    <row r="51" spans="1:8" s="2" customFormat="1" x14ac:dyDescent="0.35">
      <c r="A51" s="5"/>
      <c r="B51" s="5"/>
      <c r="C51" s="5"/>
      <c r="D51" s="13"/>
      <c r="E51" s="5"/>
      <c r="F51" s="13"/>
      <c r="G51" s="5"/>
      <c r="H51" s="5"/>
    </row>
    <row r="52" spans="1:8" s="2" customFormat="1" x14ac:dyDescent="0.35">
      <c r="A52" s="5"/>
      <c r="B52" s="5"/>
      <c r="C52" s="5"/>
      <c r="D52" s="13"/>
      <c r="E52" s="5"/>
      <c r="F52" s="13"/>
      <c r="G52" s="5"/>
      <c r="H52" s="5"/>
    </row>
    <row r="53" spans="1:8" s="2" customFormat="1" x14ac:dyDescent="0.35">
      <c r="A53" s="5"/>
      <c r="B53" s="5"/>
      <c r="C53" s="5"/>
      <c r="D53" s="13"/>
      <c r="E53" s="5"/>
      <c r="F53" s="13"/>
      <c r="G53" s="5"/>
      <c r="H53" s="5"/>
    </row>
    <row r="54" spans="1:8" s="2" customFormat="1" x14ac:dyDescent="0.35">
      <c r="A54" s="5"/>
      <c r="B54" s="5"/>
      <c r="C54" s="5"/>
      <c r="D54" s="13"/>
      <c r="E54" s="5"/>
      <c r="F54" s="13"/>
      <c r="G54" s="5"/>
      <c r="H54" s="5"/>
    </row>
    <row r="55" spans="1:8" s="2" customFormat="1" x14ac:dyDescent="0.35">
      <c r="A55" s="5"/>
      <c r="B55" s="5"/>
      <c r="C55" s="5"/>
      <c r="D55" s="13"/>
      <c r="E55" s="5"/>
      <c r="F55" s="13"/>
      <c r="G55" s="5"/>
      <c r="H55" s="5"/>
    </row>
    <row r="56" spans="1:8" s="2" customFormat="1" x14ac:dyDescent="0.35">
      <c r="A56" s="5"/>
      <c r="B56" s="5"/>
      <c r="C56" s="5"/>
      <c r="D56" s="13"/>
      <c r="E56" s="5"/>
      <c r="F56" s="13"/>
      <c r="G56" s="5"/>
      <c r="H56" s="5"/>
    </row>
    <row r="57" spans="1:8" s="2" customFormat="1" x14ac:dyDescent="0.35">
      <c r="A57" s="5"/>
      <c r="B57" s="5"/>
      <c r="C57" s="5"/>
      <c r="D57" s="13"/>
      <c r="E57" s="5"/>
      <c r="F57" s="13"/>
      <c r="G57" s="5"/>
      <c r="H57" s="5"/>
    </row>
    <row r="58" spans="1:8" s="2" customFormat="1" x14ac:dyDescent="0.35">
      <c r="A58" s="5"/>
      <c r="B58" s="5"/>
      <c r="C58" s="5"/>
      <c r="D58" s="13"/>
      <c r="E58" s="5"/>
      <c r="F58" s="13"/>
      <c r="G58" s="5"/>
      <c r="H58" s="5"/>
    </row>
    <row r="59" spans="1:8" s="2" customFormat="1" x14ac:dyDescent="0.35">
      <c r="A59" s="5"/>
      <c r="B59" s="5"/>
      <c r="C59" s="5"/>
      <c r="D59" s="13"/>
      <c r="E59" s="5"/>
      <c r="F59" s="13"/>
      <c r="G59" s="5"/>
      <c r="H59" s="5"/>
    </row>
    <row r="60" spans="1:8" s="2" customFormat="1" x14ac:dyDescent="0.35">
      <c r="A60" s="5"/>
      <c r="B60" s="5"/>
      <c r="C60" s="5"/>
      <c r="D60" s="13"/>
      <c r="E60" s="5"/>
      <c r="F60" s="13"/>
      <c r="G60" s="5"/>
      <c r="H60" s="5"/>
    </row>
    <row r="61" spans="1:8" s="2" customFormat="1" x14ac:dyDescent="0.35">
      <c r="A61" s="5"/>
      <c r="B61" s="5"/>
      <c r="C61" s="5"/>
      <c r="D61" s="13"/>
      <c r="E61" s="5"/>
      <c r="F61" s="13"/>
      <c r="G61" s="5"/>
      <c r="H61" s="5"/>
    </row>
    <row r="62" spans="1:8" s="2" customFormat="1" x14ac:dyDescent="0.35">
      <c r="A62" s="5"/>
      <c r="B62" s="5"/>
      <c r="C62" s="5"/>
      <c r="D62" s="13"/>
      <c r="E62" s="5"/>
      <c r="F62" s="13"/>
      <c r="G62" s="5"/>
      <c r="H62" s="5"/>
    </row>
    <row r="63" spans="1:8" s="2" customFormat="1" x14ac:dyDescent="0.35">
      <c r="A63" s="5"/>
      <c r="B63" s="5"/>
      <c r="C63" s="5"/>
      <c r="D63" s="13"/>
      <c r="E63" s="5"/>
      <c r="F63" s="13"/>
      <c r="G63" s="5"/>
      <c r="H63" s="5"/>
    </row>
    <row r="64" spans="1:8" s="2" customFormat="1" x14ac:dyDescent="0.35">
      <c r="A64" s="5"/>
      <c r="B64" s="5"/>
      <c r="C64" s="5"/>
      <c r="D64" s="13"/>
      <c r="E64" s="5"/>
      <c r="F64" s="13"/>
      <c r="G64" s="5"/>
      <c r="H64" s="5"/>
    </row>
    <row r="65" spans="1:8" s="2" customFormat="1" x14ac:dyDescent="0.35">
      <c r="A65" s="5"/>
      <c r="B65" s="5"/>
      <c r="C65" s="5"/>
      <c r="D65" s="13"/>
      <c r="E65" s="5"/>
      <c r="F65" s="13"/>
      <c r="G65" s="5"/>
      <c r="H65" s="5"/>
    </row>
    <row r="66" spans="1:8" s="2" customFormat="1" x14ac:dyDescent="0.35">
      <c r="A66" s="5"/>
      <c r="B66" s="5"/>
      <c r="C66" s="5"/>
      <c r="D66" s="13"/>
      <c r="E66" s="5"/>
      <c r="F66" s="13"/>
      <c r="G66" s="5"/>
      <c r="H66" s="5"/>
    </row>
    <row r="67" spans="1:8" s="2" customFormat="1" x14ac:dyDescent="0.35">
      <c r="A67" s="5"/>
      <c r="B67" s="5"/>
      <c r="C67" s="5"/>
      <c r="D67" s="13"/>
      <c r="E67" s="5"/>
      <c r="F67" s="13"/>
      <c r="G67" s="5"/>
      <c r="H67" s="5"/>
    </row>
    <row r="68" spans="1:8" s="2" customFormat="1" x14ac:dyDescent="0.35">
      <c r="A68" s="5"/>
      <c r="B68" s="5"/>
      <c r="C68" s="5"/>
      <c r="D68" s="13"/>
      <c r="E68" s="5"/>
      <c r="F68" s="13"/>
      <c r="G68" s="5"/>
      <c r="H68" s="5"/>
    </row>
    <row r="69" spans="1:8" s="2" customFormat="1" x14ac:dyDescent="0.35">
      <c r="A69" s="5"/>
      <c r="B69" s="5"/>
      <c r="C69" s="5"/>
      <c r="D69" s="13"/>
      <c r="E69" s="5"/>
      <c r="F69" s="13"/>
      <c r="G69" s="5"/>
      <c r="H69" s="5"/>
    </row>
    <row r="70" spans="1:8" s="2" customFormat="1" x14ac:dyDescent="0.35">
      <c r="A70" s="5"/>
      <c r="B70" s="5"/>
      <c r="C70" s="5"/>
      <c r="D70" s="13"/>
      <c r="E70" s="5"/>
      <c r="F70" s="13"/>
      <c r="G70" s="5"/>
      <c r="H70" s="5"/>
    </row>
    <row r="71" spans="1:8" s="2" customFormat="1" x14ac:dyDescent="0.35">
      <c r="A71" s="5"/>
      <c r="B71" s="5"/>
      <c r="C71" s="5"/>
      <c r="D71" s="13"/>
      <c r="E71" s="5"/>
      <c r="F71" s="13"/>
      <c r="G71" s="5"/>
      <c r="H71" s="5"/>
    </row>
    <row r="72" spans="1:8" s="2" customFormat="1" x14ac:dyDescent="0.35">
      <c r="A72" s="5"/>
      <c r="B72" s="5"/>
      <c r="C72" s="6"/>
      <c r="D72" s="13"/>
      <c r="E72" s="5"/>
      <c r="F72" s="13"/>
      <c r="G72" s="5"/>
      <c r="H72" s="5"/>
    </row>
    <row r="73" spans="1:8" s="2" customFormat="1" x14ac:dyDescent="0.35">
      <c r="A73" s="5"/>
      <c r="B73" s="5"/>
      <c r="C73" s="6"/>
      <c r="D73" s="13"/>
      <c r="E73" s="5"/>
      <c r="F73" s="13"/>
      <c r="G73" s="5"/>
      <c r="H73" s="5"/>
    </row>
    <row r="74" spans="1:8" s="2" customFormat="1" x14ac:dyDescent="0.35">
      <c r="A74" s="5"/>
      <c r="B74" s="5"/>
      <c r="C74" s="6"/>
      <c r="D74" s="13"/>
      <c r="E74" s="5"/>
      <c r="F74" s="13"/>
      <c r="G74" s="5"/>
      <c r="H74" s="5"/>
    </row>
    <row r="75" spans="1:8" s="2" customFormat="1" x14ac:dyDescent="0.35">
      <c r="A75" s="5"/>
      <c r="B75" s="5"/>
      <c r="C75" s="6"/>
      <c r="D75" s="13"/>
      <c r="E75" s="5"/>
      <c r="F75" s="13"/>
      <c r="G75" s="5"/>
      <c r="H75" s="5"/>
    </row>
    <row r="76" spans="1:8" s="2" customFormat="1" x14ac:dyDescent="0.35">
      <c r="A76" s="5"/>
      <c r="B76" s="5"/>
      <c r="C76" s="6"/>
      <c r="D76" s="13"/>
      <c r="E76" s="5"/>
      <c r="F76" s="13"/>
      <c r="G76" s="5"/>
      <c r="H76" s="5"/>
    </row>
    <row r="77" spans="1:8" s="2" customFormat="1" x14ac:dyDescent="0.35">
      <c r="A77" s="5"/>
      <c r="B77" s="5"/>
      <c r="C77" s="6"/>
      <c r="D77" s="13"/>
      <c r="E77" s="5"/>
      <c r="F77" s="13"/>
      <c r="G77" s="5"/>
      <c r="H77" s="5"/>
    </row>
    <row r="78" spans="1:8" s="2" customFormat="1" x14ac:dyDescent="0.35">
      <c r="A78" s="5"/>
      <c r="B78" s="5"/>
      <c r="C78" s="6"/>
      <c r="D78" s="13"/>
      <c r="E78" s="5"/>
      <c r="F78" s="13"/>
      <c r="G78" s="5"/>
      <c r="H78" s="5"/>
    </row>
    <row r="79" spans="1:8" s="2" customFormat="1" x14ac:dyDescent="0.35">
      <c r="A79" s="5"/>
      <c r="B79" s="5"/>
      <c r="C79" s="6"/>
      <c r="D79" s="13"/>
      <c r="E79" s="5"/>
      <c r="F79" s="13"/>
      <c r="G79" s="5"/>
      <c r="H79" s="5"/>
    </row>
    <row r="80" spans="1:8" s="2" customFormat="1" x14ac:dyDescent="0.35">
      <c r="A80" s="5"/>
      <c r="B80" s="5"/>
      <c r="C80" s="6"/>
      <c r="D80" s="13"/>
      <c r="E80" s="5"/>
      <c r="F80" s="13"/>
      <c r="G80" s="5"/>
      <c r="H80" s="5"/>
    </row>
    <row r="81" spans="1:8" s="2" customFormat="1" x14ac:dyDescent="0.35">
      <c r="A81" s="5"/>
      <c r="B81" s="5"/>
      <c r="C81" s="6"/>
      <c r="D81" s="13"/>
      <c r="E81" s="5"/>
      <c r="F81" s="13"/>
      <c r="G81" s="5"/>
      <c r="H81" s="5"/>
    </row>
    <row r="82" spans="1:8" s="2" customFormat="1" x14ac:dyDescent="0.35">
      <c r="A82" s="5"/>
      <c r="B82" s="5"/>
      <c r="C82" s="6"/>
      <c r="D82" s="13"/>
      <c r="E82" s="5"/>
      <c r="F82" s="13"/>
      <c r="G82" s="5"/>
      <c r="H82" s="5"/>
    </row>
    <row r="83" spans="1:8" s="2" customFormat="1" x14ac:dyDescent="0.35">
      <c r="A83" s="5"/>
      <c r="B83" s="5"/>
      <c r="C83" s="6"/>
      <c r="D83" s="13"/>
      <c r="E83" s="5"/>
      <c r="F83" s="13"/>
      <c r="G83" s="5"/>
      <c r="H83" s="5"/>
    </row>
    <row r="84" spans="1:8" s="2" customFormat="1" x14ac:dyDescent="0.35">
      <c r="A84" s="5"/>
      <c r="B84" s="5"/>
      <c r="C84" s="6"/>
      <c r="D84" s="13"/>
      <c r="E84" s="5"/>
      <c r="F84" s="13"/>
      <c r="G84" s="5"/>
      <c r="H84" s="5"/>
    </row>
    <row r="85" spans="1:8" s="2" customFormat="1" x14ac:dyDescent="0.35">
      <c r="A85" s="5"/>
      <c r="B85" s="5"/>
      <c r="C85" s="6"/>
      <c r="D85" s="13"/>
      <c r="E85" s="5"/>
      <c r="F85" s="13"/>
      <c r="G85" s="5"/>
      <c r="H85" s="5"/>
    </row>
    <row r="86" spans="1:8" s="2" customFormat="1" x14ac:dyDescent="0.35">
      <c r="A86" s="5"/>
      <c r="B86" s="5"/>
      <c r="C86" s="6"/>
      <c r="D86" s="13"/>
      <c r="E86" s="5"/>
      <c r="F86" s="13"/>
      <c r="G86" s="5"/>
      <c r="H86" s="5"/>
    </row>
    <row r="87" spans="1:8" s="2" customFormat="1" x14ac:dyDescent="0.35">
      <c r="A87" s="5"/>
      <c r="B87" s="5"/>
      <c r="C87" s="6"/>
      <c r="D87" s="13"/>
      <c r="E87" s="5"/>
      <c r="F87" s="13"/>
      <c r="G87" s="5"/>
      <c r="H87" s="5"/>
    </row>
    <row r="88" spans="1:8" s="2" customFormat="1" x14ac:dyDescent="0.35">
      <c r="A88" s="5"/>
      <c r="B88" s="5"/>
      <c r="C88" s="6"/>
      <c r="D88" s="13"/>
      <c r="E88" s="5"/>
      <c r="F88" s="13"/>
      <c r="G88" s="5"/>
      <c r="H88" s="5"/>
    </row>
    <row r="89" spans="1:8" s="2" customFormat="1" x14ac:dyDescent="0.35">
      <c r="A89" s="5"/>
      <c r="B89" s="5"/>
      <c r="C89" s="6"/>
      <c r="D89" s="13"/>
      <c r="E89" s="5"/>
      <c r="F89" s="13"/>
      <c r="G89" s="5"/>
      <c r="H89" s="5"/>
    </row>
    <row r="90" spans="1:8" s="2" customFormat="1" x14ac:dyDescent="0.35">
      <c r="A90" s="5"/>
      <c r="B90" s="5"/>
      <c r="C90" s="6"/>
      <c r="D90" s="13"/>
      <c r="E90" s="5"/>
      <c r="F90" s="13"/>
      <c r="G90" s="5"/>
      <c r="H90" s="5"/>
    </row>
    <row r="91" spans="1:8" s="2" customFormat="1" x14ac:dyDescent="0.35">
      <c r="A91" s="5"/>
      <c r="B91" s="5"/>
      <c r="C91" s="6"/>
      <c r="D91" s="13"/>
      <c r="E91" s="5"/>
      <c r="F91" s="13"/>
      <c r="G91" s="5"/>
      <c r="H91" s="5"/>
    </row>
    <row r="92" spans="1:8" s="2" customFormat="1" x14ac:dyDescent="0.35">
      <c r="A92" s="5"/>
      <c r="B92" s="5"/>
      <c r="C92" s="6"/>
      <c r="D92" s="13"/>
      <c r="E92" s="5"/>
      <c r="F92" s="13"/>
      <c r="G92" s="5"/>
      <c r="H92" s="5"/>
    </row>
    <row r="93" spans="1:8" s="2" customFormat="1" x14ac:dyDescent="0.35">
      <c r="A93" s="5"/>
      <c r="B93" s="5"/>
      <c r="C93" s="6"/>
      <c r="D93" s="13"/>
      <c r="E93" s="5"/>
      <c r="F93" s="13"/>
      <c r="G93" s="5"/>
      <c r="H93" s="5"/>
    </row>
    <row r="94" spans="1:8" s="2" customFormat="1" x14ac:dyDescent="0.35">
      <c r="A94" s="5"/>
      <c r="B94" s="5"/>
      <c r="C94" s="6"/>
      <c r="D94" s="13"/>
      <c r="E94" s="5"/>
      <c r="F94" s="13"/>
      <c r="G94" s="5"/>
      <c r="H94" s="5"/>
    </row>
    <row r="95" spans="1:8" s="2" customFormat="1" x14ac:dyDescent="0.35">
      <c r="A95" s="5"/>
      <c r="B95" s="5"/>
      <c r="C95" s="6"/>
      <c r="D95" s="13"/>
      <c r="E95" s="5"/>
      <c r="F95" s="13"/>
      <c r="G95" s="5"/>
      <c r="H95" s="5"/>
    </row>
    <row r="96" spans="1:8" s="2" customFormat="1" x14ac:dyDescent="0.35">
      <c r="A96" s="5"/>
      <c r="B96" s="5"/>
      <c r="C96" s="6"/>
      <c r="D96" s="13"/>
      <c r="E96" s="5"/>
      <c r="F96" s="13"/>
      <c r="G96" s="5"/>
      <c r="H96" s="5"/>
    </row>
    <row r="97" spans="1:8" s="2" customFormat="1" x14ac:dyDescent="0.35">
      <c r="A97" s="5"/>
      <c r="B97" s="5"/>
      <c r="C97" s="6"/>
      <c r="D97" s="13"/>
      <c r="E97" s="5"/>
      <c r="F97" s="13"/>
      <c r="G97" s="5"/>
      <c r="H97" s="5"/>
    </row>
    <row r="98" spans="1:8" s="2" customFormat="1" x14ac:dyDescent="0.35">
      <c r="A98" s="5"/>
      <c r="B98" s="5"/>
      <c r="C98" s="6"/>
      <c r="D98" s="13"/>
      <c r="E98" s="5"/>
      <c r="F98" s="13"/>
      <c r="G98" s="5"/>
      <c r="H98" s="5"/>
    </row>
    <row r="99" spans="1:8" s="2" customFormat="1" x14ac:dyDescent="0.35">
      <c r="A99" s="5"/>
      <c r="B99" s="5"/>
      <c r="C99" s="6"/>
      <c r="D99" s="13"/>
      <c r="E99" s="5"/>
      <c r="F99" s="13"/>
      <c r="G99" s="5"/>
      <c r="H99" s="5"/>
    </row>
    <row r="100" spans="1:8" s="2" customFormat="1" x14ac:dyDescent="0.35">
      <c r="A100" s="5"/>
      <c r="B100" s="5"/>
      <c r="C100" s="6"/>
      <c r="D100" s="13"/>
      <c r="E100" s="5"/>
      <c r="F100" s="13"/>
      <c r="G100" s="5"/>
      <c r="H100" s="5"/>
    </row>
  </sheetData>
  <sheetProtection sheet="1" objects="1" scenarios="1"/>
  <sortState xmlns:xlrd2="http://schemas.microsoft.com/office/spreadsheetml/2017/richdata2" ref="C22:C31">
    <sortCondition descending="1" ref="C22"/>
  </sortState>
  <mergeCells count="10">
    <mergeCell ref="C3:E4"/>
    <mergeCell ref="D6:E6"/>
    <mergeCell ref="D7:E7"/>
    <mergeCell ref="D8:E8"/>
    <mergeCell ref="D9:E9"/>
    <mergeCell ref="D12:E12"/>
    <mergeCell ref="D11:E11"/>
    <mergeCell ref="D13:E13"/>
    <mergeCell ref="D14:E14"/>
    <mergeCell ref="D15:E15"/>
  </mergeCells>
  <conditionalFormatting sqref="D27:F39 D18:D26 F18:F26">
    <cfRule type="cellIs" dxfId="4" priority="1" operator="equal">
      <formula>"Not Enough Data"</formula>
    </cfRule>
    <cfRule type="cellIs" dxfId="3" priority="2" operator="equal">
      <formula>"Excellent"</formula>
    </cfRule>
    <cfRule type="cellIs" dxfId="2" priority="3" operator="equal">
      <formula>"Good"</formula>
    </cfRule>
    <cfRule type="cellIs" dxfId="1" priority="4" operator="equal">
      <formula>"Sufficient"</formula>
    </cfRule>
    <cfRule type="cellIs" dxfId="0" priority="5" operator="equal">
      <formula>"Poor"</formula>
    </cfRule>
  </conditionalFormatting>
  <dataValidations count="1">
    <dataValidation type="whole" errorStyle="information" allowBlank="1" showErrorMessage="1" errorTitle="Month" error="Please enter a value between 1-12." sqref="D9" xr:uid="{00000000-0002-0000-0000-000000000000}">
      <formula1>1</formula1>
      <formula2>12</formula2>
    </dataValidation>
  </dataValidations>
  <pageMargins left="0.7" right="0.7" top="0.75" bottom="0.75" header="0.3" footer="0.3"/>
  <pageSetup orientation="portrait" horizontalDpi="300" verticalDpi="300" r:id="rId1"/>
  <headerFooter>
    <oddFooter>&amp;C&amp;N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alculations">
                <anchor moveWithCells="1">
                  <from>
                    <xdr:col>9</xdr:col>
                    <xdr:colOff>0</xdr:colOff>
                    <xdr:row>4</xdr:row>
                    <xdr:rowOff>101600</xdr:rowOff>
                  </from>
                  <to>
                    <xdr:col>11</xdr:col>
                    <xdr:colOff>38100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240"/>
  <sheetViews>
    <sheetView workbookViewId="0">
      <pane ySplit="1" topLeftCell="A2" activePane="bottomLeft" state="frozen"/>
      <selection pane="bottomLeft" activeCell="A25" sqref="A25"/>
    </sheetView>
  </sheetViews>
  <sheetFormatPr defaultRowHeight="14.5" x14ac:dyDescent="0.35"/>
  <cols>
    <col min="1" max="1" width="29" style="30" bestFit="1" customWidth="1"/>
    <col min="2" max="2" width="12" style="33" bestFit="1" customWidth="1"/>
    <col min="5" max="5" width="15.90625" bestFit="1" customWidth="1"/>
    <col min="7" max="7" width="15" bestFit="1" customWidth="1"/>
  </cols>
  <sheetData>
    <row r="1" spans="1:7" s="1" customFormat="1" x14ac:dyDescent="0.35">
      <c r="A1" s="36" t="s">
        <v>0</v>
      </c>
      <c r="B1" s="26" t="s">
        <v>1</v>
      </c>
    </row>
    <row r="2" spans="1:7" x14ac:dyDescent="0.35">
      <c r="A2" s="31">
        <v>45210</v>
      </c>
      <c r="B2" s="32">
        <v>1</v>
      </c>
      <c r="E2" s="27"/>
      <c r="F2" s="28"/>
      <c r="G2" s="29"/>
    </row>
    <row r="3" spans="1:7" x14ac:dyDescent="0.35">
      <c r="A3" s="31">
        <v>45216</v>
      </c>
      <c r="B3" s="32">
        <v>1</v>
      </c>
      <c r="E3" s="27"/>
      <c r="F3" s="28"/>
      <c r="G3" s="29"/>
    </row>
    <row r="4" spans="1:7" x14ac:dyDescent="0.35">
      <c r="A4" s="31">
        <v>45224</v>
      </c>
      <c r="B4" s="32">
        <v>1</v>
      </c>
      <c r="E4" s="27"/>
      <c r="F4" s="28"/>
      <c r="G4" s="29"/>
    </row>
    <row r="5" spans="1:7" x14ac:dyDescent="0.35">
      <c r="A5" s="31">
        <v>45230</v>
      </c>
      <c r="B5" s="32">
        <v>1</v>
      </c>
      <c r="E5" s="27"/>
      <c r="F5" s="28"/>
      <c r="G5" s="29"/>
    </row>
    <row r="6" spans="1:7" x14ac:dyDescent="0.35">
      <c r="A6" s="31">
        <v>45238</v>
      </c>
      <c r="B6" s="32">
        <v>1</v>
      </c>
      <c r="E6" s="27"/>
      <c r="F6" s="28"/>
      <c r="G6" s="29"/>
    </row>
    <row r="7" spans="1:7" x14ac:dyDescent="0.35">
      <c r="A7" s="31">
        <v>45244</v>
      </c>
      <c r="B7" s="32">
        <v>1</v>
      </c>
      <c r="E7" s="27"/>
      <c r="F7" s="28"/>
      <c r="G7" s="29"/>
    </row>
    <row r="8" spans="1:7" x14ac:dyDescent="0.35">
      <c r="A8" s="31">
        <v>45252</v>
      </c>
      <c r="B8" s="32">
        <v>1</v>
      </c>
      <c r="E8" s="27"/>
      <c r="F8" s="28"/>
      <c r="G8" s="29"/>
    </row>
    <row r="9" spans="1:7" x14ac:dyDescent="0.35">
      <c r="A9" s="31">
        <v>45258</v>
      </c>
      <c r="B9" s="32">
        <v>1</v>
      </c>
      <c r="E9" s="27"/>
      <c r="F9" s="28"/>
      <c r="G9" s="29"/>
    </row>
    <row r="10" spans="1:7" x14ac:dyDescent="0.35">
      <c r="A10" s="31">
        <v>45266</v>
      </c>
      <c r="B10" s="32">
        <v>1</v>
      </c>
      <c r="E10" s="27"/>
      <c r="F10" s="28"/>
      <c r="G10" s="29"/>
    </row>
    <row r="11" spans="1:7" x14ac:dyDescent="0.35">
      <c r="A11" s="31">
        <v>45266</v>
      </c>
      <c r="B11" s="32">
        <v>1</v>
      </c>
      <c r="E11" s="27"/>
      <c r="F11" s="28"/>
      <c r="G11" s="29"/>
    </row>
    <row r="12" spans="1:7" x14ac:dyDescent="0.35">
      <c r="A12" s="31">
        <v>45266</v>
      </c>
      <c r="B12" s="32">
        <v>1</v>
      </c>
      <c r="E12" s="27"/>
      <c r="F12" s="28"/>
      <c r="G12" s="29"/>
    </row>
    <row r="13" spans="1:7" x14ac:dyDescent="0.35">
      <c r="A13" s="31">
        <v>45307</v>
      </c>
      <c r="B13" s="32">
        <v>1</v>
      </c>
      <c r="E13" s="27"/>
      <c r="F13" s="28"/>
      <c r="G13" s="29"/>
    </row>
    <row r="14" spans="1:7" x14ac:dyDescent="0.35">
      <c r="A14" s="31">
        <v>45314</v>
      </c>
      <c r="B14" s="32">
        <v>1</v>
      </c>
      <c r="E14" s="27"/>
      <c r="F14" s="28"/>
      <c r="G14" s="29"/>
    </row>
    <row r="15" spans="1:7" x14ac:dyDescent="0.35">
      <c r="A15" s="31">
        <v>45321</v>
      </c>
      <c r="B15" s="32">
        <v>1</v>
      </c>
      <c r="E15" s="27"/>
      <c r="F15" s="28"/>
      <c r="G15" s="29"/>
    </row>
    <row r="16" spans="1:7" x14ac:dyDescent="0.35">
      <c r="A16" s="31">
        <v>45329</v>
      </c>
      <c r="B16" s="32">
        <v>1</v>
      </c>
      <c r="E16" s="27"/>
      <c r="F16" s="28"/>
      <c r="G16" s="29"/>
    </row>
    <row r="17" spans="1:7" x14ac:dyDescent="0.35">
      <c r="A17" s="31">
        <v>45335</v>
      </c>
      <c r="B17" s="32">
        <v>1</v>
      </c>
      <c r="E17" s="27"/>
      <c r="F17" s="28"/>
      <c r="G17" s="29"/>
    </row>
    <row r="18" spans="1:7" x14ac:dyDescent="0.35">
      <c r="A18" s="31">
        <v>45343</v>
      </c>
      <c r="B18" s="32">
        <v>1</v>
      </c>
      <c r="E18" s="27"/>
      <c r="F18" s="28"/>
      <c r="G18" s="29"/>
    </row>
    <row r="19" spans="1:7" x14ac:dyDescent="0.35">
      <c r="A19" s="31">
        <v>45349</v>
      </c>
      <c r="B19" s="32">
        <v>1</v>
      </c>
      <c r="E19" s="27"/>
      <c r="F19" s="28"/>
      <c r="G19" s="29"/>
    </row>
    <row r="20" spans="1:7" x14ac:dyDescent="0.35">
      <c r="A20" s="31">
        <v>45357</v>
      </c>
      <c r="B20" s="32">
        <v>1</v>
      </c>
      <c r="E20" s="27"/>
      <c r="F20" s="28"/>
      <c r="G20" s="29"/>
    </row>
    <row r="21" spans="1:7" x14ac:dyDescent="0.35">
      <c r="A21" s="31">
        <v>45364</v>
      </c>
      <c r="B21" s="32">
        <v>1</v>
      </c>
      <c r="E21" s="27"/>
      <c r="F21" s="28"/>
      <c r="G21" s="29"/>
    </row>
    <row r="22" spans="1:7" x14ac:dyDescent="0.35">
      <c r="A22" s="31">
        <v>45370</v>
      </c>
      <c r="B22" s="32">
        <v>1</v>
      </c>
      <c r="E22" s="27"/>
      <c r="F22" s="28"/>
      <c r="G22" s="29"/>
    </row>
    <row r="23" spans="1:7" x14ac:dyDescent="0.35">
      <c r="A23" s="31">
        <v>45378</v>
      </c>
      <c r="B23" s="32">
        <v>1</v>
      </c>
      <c r="E23" s="27"/>
      <c r="F23" s="28"/>
      <c r="G23" s="29"/>
    </row>
    <row r="24" spans="1:7" x14ac:dyDescent="0.35">
      <c r="A24" s="31">
        <v>45384</v>
      </c>
      <c r="B24" s="32">
        <v>1</v>
      </c>
      <c r="E24" s="27"/>
      <c r="F24" s="28"/>
      <c r="G24" s="29"/>
    </row>
    <row r="25" spans="1:7" x14ac:dyDescent="0.35">
      <c r="A25" s="31">
        <v>45391</v>
      </c>
      <c r="B25" s="32">
        <v>1</v>
      </c>
      <c r="E25" s="27"/>
      <c r="F25" s="28"/>
      <c r="G25" s="29"/>
    </row>
    <row r="26" spans="1:7" x14ac:dyDescent="0.35">
      <c r="A26" s="31">
        <v>45400</v>
      </c>
      <c r="B26" s="32">
        <v>1</v>
      </c>
      <c r="E26" s="27"/>
      <c r="F26" s="28"/>
      <c r="G26" s="29"/>
    </row>
    <row r="27" spans="1:7" x14ac:dyDescent="0.35">
      <c r="A27" s="31">
        <v>45405</v>
      </c>
      <c r="B27" s="32">
        <v>1</v>
      </c>
      <c r="E27" s="27"/>
      <c r="F27" s="28"/>
      <c r="G27" s="29"/>
    </row>
    <row r="28" spans="1:7" x14ac:dyDescent="0.35">
      <c r="A28" s="31">
        <v>45419</v>
      </c>
      <c r="B28" s="32">
        <v>1</v>
      </c>
      <c r="E28" s="27"/>
      <c r="F28" s="28"/>
      <c r="G28" s="29"/>
    </row>
    <row r="29" spans="1:7" x14ac:dyDescent="0.35">
      <c r="A29" s="31">
        <v>45426</v>
      </c>
      <c r="B29" s="32">
        <v>1</v>
      </c>
      <c r="E29" s="27"/>
      <c r="F29" s="28"/>
      <c r="G29" s="29"/>
    </row>
    <row r="30" spans="1:7" x14ac:dyDescent="0.35">
      <c r="A30" s="31">
        <v>45433</v>
      </c>
      <c r="B30" s="32">
        <v>1</v>
      </c>
      <c r="E30" s="27"/>
      <c r="F30" s="28"/>
      <c r="G30" s="29"/>
    </row>
    <row r="31" spans="1:7" x14ac:dyDescent="0.35">
      <c r="A31" s="31">
        <v>45442</v>
      </c>
      <c r="B31" s="32">
        <v>1</v>
      </c>
      <c r="E31" s="27"/>
      <c r="F31" s="28"/>
      <c r="G31" s="29"/>
    </row>
    <row r="32" spans="1:7" x14ac:dyDescent="0.35">
      <c r="A32" s="31">
        <v>45448</v>
      </c>
      <c r="B32" s="32">
        <v>1</v>
      </c>
      <c r="E32" s="27"/>
      <c r="F32" s="28"/>
      <c r="G32" s="29"/>
    </row>
    <row r="33" spans="1:7" x14ac:dyDescent="0.35">
      <c r="A33" s="31">
        <v>45454</v>
      </c>
      <c r="B33" s="32">
        <v>1</v>
      </c>
      <c r="E33" s="27"/>
      <c r="F33" s="28"/>
      <c r="G33" s="29"/>
    </row>
    <row r="34" spans="1:7" x14ac:dyDescent="0.35">
      <c r="A34" s="31">
        <v>45462</v>
      </c>
      <c r="B34" s="32">
        <v>1</v>
      </c>
      <c r="E34" s="27"/>
      <c r="F34" s="28"/>
      <c r="G34" s="29"/>
    </row>
    <row r="35" spans="1:7" x14ac:dyDescent="0.35">
      <c r="A35" s="31">
        <v>45468</v>
      </c>
      <c r="B35" s="32">
        <v>1</v>
      </c>
      <c r="E35" s="27"/>
      <c r="F35" s="28"/>
      <c r="G35" s="29"/>
    </row>
    <row r="36" spans="1:7" x14ac:dyDescent="0.35">
      <c r="A36" s="31">
        <v>45476</v>
      </c>
      <c r="B36" s="32">
        <v>1</v>
      </c>
      <c r="E36" s="27"/>
      <c r="F36" s="28"/>
      <c r="G36" s="29"/>
    </row>
    <row r="37" spans="1:7" x14ac:dyDescent="0.35">
      <c r="A37" s="31">
        <v>45482</v>
      </c>
      <c r="B37" s="32">
        <v>1</v>
      </c>
      <c r="E37" s="27"/>
      <c r="F37" s="28"/>
      <c r="G37" s="29"/>
    </row>
    <row r="38" spans="1:7" x14ac:dyDescent="0.35">
      <c r="A38" s="31">
        <v>45490</v>
      </c>
      <c r="B38" s="32">
        <v>1</v>
      </c>
      <c r="E38" s="27"/>
      <c r="F38" s="28"/>
      <c r="G38" s="29"/>
    </row>
    <row r="39" spans="1:7" x14ac:dyDescent="0.35">
      <c r="A39" s="31">
        <v>45496</v>
      </c>
      <c r="B39" s="32">
        <v>1</v>
      </c>
      <c r="E39" s="27"/>
      <c r="F39" s="28"/>
      <c r="G39" s="29"/>
    </row>
    <row r="40" spans="1:7" x14ac:dyDescent="0.35">
      <c r="A40" s="31">
        <v>45504</v>
      </c>
      <c r="B40" s="32">
        <v>1</v>
      </c>
      <c r="E40" s="27"/>
      <c r="F40" s="28"/>
      <c r="G40" s="29"/>
    </row>
    <row r="41" spans="1:7" x14ac:dyDescent="0.35">
      <c r="A41" s="31">
        <v>45510</v>
      </c>
      <c r="B41" s="32">
        <v>1</v>
      </c>
      <c r="E41" s="27"/>
      <c r="F41" s="28"/>
      <c r="G41" s="29"/>
    </row>
    <row r="42" spans="1:7" x14ac:dyDescent="0.35">
      <c r="A42" s="31">
        <v>45518</v>
      </c>
      <c r="B42" s="32">
        <v>1</v>
      </c>
      <c r="E42" s="27"/>
      <c r="F42" s="28"/>
      <c r="G42" s="29"/>
    </row>
    <row r="43" spans="1:7" x14ac:dyDescent="0.35">
      <c r="A43" s="31">
        <v>45621</v>
      </c>
      <c r="B43" s="32">
        <v>1</v>
      </c>
      <c r="E43" s="27"/>
      <c r="F43" s="28"/>
      <c r="G43" s="29"/>
    </row>
    <row r="44" spans="1:7" x14ac:dyDescent="0.35">
      <c r="A44" s="31"/>
      <c r="B44" s="32"/>
      <c r="E44" s="27"/>
      <c r="F44" s="28"/>
      <c r="G44" s="29"/>
    </row>
    <row r="45" spans="1:7" x14ac:dyDescent="0.35">
      <c r="A45" s="31"/>
      <c r="B45" s="32"/>
      <c r="E45" s="27"/>
      <c r="F45" s="28"/>
      <c r="G45" s="29"/>
    </row>
    <row r="46" spans="1:7" x14ac:dyDescent="0.35">
      <c r="A46" s="31"/>
      <c r="B46" s="32"/>
      <c r="E46" s="27"/>
      <c r="F46" s="28"/>
      <c r="G46" s="29"/>
    </row>
    <row r="47" spans="1:7" x14ac:dyDescent="0.35">
      <c r="A47" s="31"/>
      <c r="B47" s="32"/>
      <c r="E47" s="27"/>
      <c r="F47" s="28"/>
      <c r="G47" s="29"/>
    </row>
    <row r="48" spans="1:7" x14ac:dyDescent="0.35">
      <c r="A48" s="31"/>
      <c r="B48" s="32"/>
      <c r="E48" s="27"/>
      <c r="F48" s="28"/>
      <c r="G48" s="29"/>
    </row>
    <row r="49" spans="1:7" x14ac:dyDescent="0.35">
      <c r="A49" s="31"/>
      <c r="B49" s="32"/>
      <c r="E49" s="27"/>
      <c r="F49" s="28"/>
      <c r="G49" s="29"/>
    </row>
    <row r="50" spans="1:7" x14ac:dyDescent="0.35">
      <c r="A50" s="31"/>
      <c r="B50" s="32"/>
      <c r="E50" s="27"/>
      <c r="F50" s="28"/>
      <c r="G50" s="29"/>
    </row>
    <row r="51" spans="1:7" x14ac:dyDescent="0.35">
      <c r="A51" s="31"/>
      <c r="B51" s="32"/>
      <c r="E51" s="27"/>
      <c r="F51" s="28"/>
      <c r="G51" s="29"/>
    </row>
    <row r="52" spans="1:7" x14ac:dyDescent="0.35">
      <c r="A52" s="31"/>
      <c r="B52" s="32"/>
      <c r="E52" s="27"/>
      <c r="F52" s="28"/>
      <c r="G52" s="29"/>
    </row>
    <row r="53" spans="1:7" x14ac:dyDescent="0.35">
      <c r="A53" s="31"/>
      <c r="B53" s="32"/>
      <c r="E53" s="27"/>
      <c r="F53" s="28"/>
      <c r="G53" s="29"/>
    </row>
    <row r="54" spans="1:7" x14ac:dyDescent="0.35">
      <c r="A54" s="31"/>
      <c r="B54" s="32"/>
      <c r="E54" s="27"/>
      <c r="F54" s="28"/>
      <c r="G54" s="29"/>
    </row>
    <row r="55" spans="1:7" x14ac:dyDescent="0.35">
      <c r="A55" s="31"/>
      <c r="B55" s="32"/>
      <c r="E55" s="27"/>
      <c r="F55" s="28"/>
      <c r="G55" s="29"/>
    </row>
    <row r="56" spans="1:7" x14ac:dyDescent="0.35">
      <c r="A56" s="31"/>
      <c r="B56" s="32"/>
      <c r="E56" s="27"/>
      <c r="F56" s="28"/>
      <c r="G56" s="29"/>
    </row>
    <row r="57" spans="1:7" x14ac:dyDescent="0.35">
      <c r="A57" s="31"/>
      <c r="B57" s="32"/>
      <c r="E57" s="27"/>
      <c r="F57" s="28"/>
      <c r="G57" s="29"/>
    </row>
    <row r="58" spans="1:7" x14ac:dyDescent="0.35">
      <c r="A58" s="31"/>
      <c r="B58" s="32"/>
      <c r="E58" s="27"/>
      <c r="F58" s="28"/>
      <c r="G58" s="29"/>
    </row>
    <row r="59" spans="1:7" x14ac:dyDescent="0.35">
      <c r="A59" s="31"/>
      <c r="B59" s="32"/>
      <c r="E59" s="27"/>
      <c r="F59" s="28"/>
      <c r="G59" s="29"/>
    </row>
    <row r="60" spans="1:7" x14ac:dyDescent="0.35">
      <c r="A60" s="31"/>
      <c r="B60" s="32"/>
      <c r="E60" s="27"/>
      <c r="F60" s="28"/>
      <c r="G60" s="29"/>
    </row>
    <row r="61" spans="1:7" x14ac:dyDescent="0.35">
      <c r="A61" s="31"/>
      <c r="B61" s="32"/>
      <c r="E61" s="27"/>
      <c r="F61" s="28"/>
      <c r="G61" s="29"/>
    </row>
    <row r="62" spans="1:7" x14ac:dyDescent="0.35">
      <c r="A62" s="31"/>
      <c r="B62" s="32"/>
      <c r="E62" s="27"/>
      <c r="F62" s="28"/>
      <c r="G62" s="29"/>
    </row>
    <row r="63" spans="1:7" x14ac:dyDescent="0.35">
      <c r="A63" s="31"/>
      <c r="B63" s="32"/>
      <c r="E63" s="27"/>
      <c r="F63" s="28"/>
      <c r="G63" s="29"/>
    </row>
    <row r="64" spans="1:7" x14ac:dyDescent="0.35">
      <c r="A64" s="31"/>
      <c r="B64" s="32"/>
      <c r="E64" s="27"/>
      <c r="F64" s="28"/>
      <c r="G64" s="29"/>
    </row>
    <row r="65" spans="1:7" x14ac:dyDescent="0.35">
      <c r="A65" s="31"/>
      <c r="B65" s="32"/>
      <c r="E65" s="27"/>
      <c r="F65" s="28"/>
      <c r="G65" s="29"/>
    </row>
    <row r="66" spans="1:7" x14ac:dyDescent="0.35">
      <c r="A66" s="31"/>
      <c r="B66" s="32"/>
      <c r="E66" s="27"/>
      <c r="F66" s="28"/>
      <c r="G66" s="29"/>
    </row>
    <row r="67" spans="1:7" x14ac:dyDescent="0.35">
      <c r="A67" s="31"/>
      <c r="B67" s="32"/>
      <c r="E67" s="27"/>
      <c r="F67" s="28"/>
      <c r="G67" s="29"/>
    </row>
    <row r="68" spans="1:7" x14ac:dyDescent="0.35">
      <c r="A68" s="31"/>
      <c r="B68" s="32"/>
      <c r="E68" s="27"/>
      <c r="F68" s="28"/>
      <c r="G68" s="29"/>
    </row>
    <row r="69" spans="1:7" x14ac:dyDescent="0.35">
      <c r="A69" s="31"/>
      <c r="B69" s="32"/>
      <c r="E69" s="27"/>
      <c r="F69" s="28"/>
      <c r="G69" s="29"/>
    </row>
    <row r="70" spans="1:7" x14ac:dyDescent="0.35">
      <c r="A70" s="31"/>
      <c r="B70" s="32"/>
      <c r="E70" s="27"/>
      <c r="F70" s="28"/>
      <c r="G70" s="29"/>
    </row>
    <row r="71" spans="1:7" x14ac:dyDescent="0.35">
      <c r="A71" s="31"/>
      <c r="B71" s="32"/>
      <c r="E71" s="27"/>
      <c r="F71" s="28"/>
      <c r="G71" s="29"/>
    </row>
    <row r="72" spans="1:7" x14ac:dyDescent="0.35">
      <c r="A72" s="31"/>
      <c r="B72" s="32"/>
      <c r="E72" s="27"/>
      <c r="F72" s="28"/>
      <c r="G72" s="29"/>
    </row>
    <row r="73" spans="1:7" x14ac:dyDescent="0.35">
      <c r="A73" s="31"/>
      <c r="B73" s="32"/>
      <c r="E73" s="27"/>
      <c r="F73" s="28"/>
      <c r="G73" s="29"/>
    </row>
    <row r="74" spans="1:7" x14ac:dyDescent="0.35">
      <c r="A74" s="31"/>
      <c r="B74" s="32"/>
      <c r="E74" s="27"/>
      <c r="F74" s="28"/>
      <c r="G74" s="29"/>
    </row>
    <row r="75" spans="1:7" x14ac:dyDescent="0.35">
      <c r="A75" s="31"/>
      <c r="B75" s="32"/>
      <c r="E75" s="27"/>
      <c r="F75" s="28"/>
      <c r="G75" s="29"/>
    </row>
    <row r="76" spans="1:7" x14ac:dyDescent="0.35">
      <c r="A76" s="31"/>
      <c r="B76" s="32"/>
      <c r="E76" s="27"/>
      <c r="F76" s="28"/>
      <c r="G76" s="29"/>
    </row>
    <row r="77" spans="1:7" x14ac:dyDescent="0.35">
      <c r="A77" s="31"/>
      <c r="B77" s="32"/>
      <c r="E77" s="27"/>
      <c r="F77" s="28"/>
      <c r="G77" s="29"/>
    </row>
    <row r="78" spans="1:7" x14ac:dyDescent="0.35">
      <c r="A78" s="31"/>
      <c r="B78" s="32"/>
      <c r="E78" s="27"/>
      <c r="F78" s="28"/>
      <c r="G78" s="29"/>
    </row>
    <row r="79" spans="1:7" x14ac:dyDescent="0.35">
      <c r="A79" s="31"/>
      <c r="B79" s="32"/>
      <c r="E79" s="27"/>
      <c r="F79" s="28"/>
      <c r="G79" s="29"/>
    </row>
    <row r="80" spans="1:7" x14ac:dyDescent="0.35">
      <c r="A80" s="31"/>
      <c r="B80" s="32"/>
      <c r="E80" s="27"/>
      <c r="F80" s="28"/>
      <c r="G80" s="29"/>
    </row>
    <row r="81" spans="1:7" x14ac:dyDescent="0.35">
      <c r="A81" s="31"/>
      <c r="B81" s="32"/>
      <c r="E81" s="27"/>
      <c r="F81" s="28"/>
      <c r="G81" s="29"/>
    </row>
    <row r="82" spans="1:7" x14ac:dyDescent="0.35">
      <c r="A82" s="31"/>
      <c r="B82" s="32"/>
      <c r="E82" s="27"/>
      <c r="F82" s="28"/>
      <c r="G82" s="29"/>
    </row>
    <row r="83" spans="1:7" x14ac:dyDescent="0.35">
      <c r="A83" s="31"/>
      <c r="B83" s="32"/>
      <c r="E83" s="27"/>
      <c r="F83" s="28"/>
      <c r="G83" s="29"/>
    </row>
    <row r="84" spans="1:7" x14ac:dyDescent="0.35">
      <c r="A84" s="31"/>
      <c r="B84" s="32"/>
      <c r="E84" s="27"/>
      <c r="F84" s="28"/>
      <c r="G84" s="29"/>
    </row>
    <row r="85" spans="1:7" x14ac:dyDescent="0.35">
      <c r="A85" s="31"/>
      <c r="B85" s="32"/>
      <c r="E85" s="27"/>
      <c r="F85" s="28"/>
      <c r="G85" s="29"/>
    </row>
    <row r="86" spans="1:7" x14ac:dyDescent="0.35">
      <c r="A86" s="31"/>
      <c r="B86" s="32"/>
      <c r="E86" s="27"/>
      <c r="F86" s="28"/>
      <c r="G86" s="29"/>
    </row>
    <row r="87" spans="1:7" x14ac:dyDescent="0.35">
      <c r="A87" s="31"/>
      <c r="B87" s="32"/>
      <c r="E87" s="27"/>
      <c r="F87" s="28"/>
      <c r="G87" s="29"/>
    </row>
    <row r="88" spans="1:7" x14ac:dyDescent="0.35">
      <c r="A88" s="31"/>
      <c r="B88" s="32"/>
      <c r="E88" s="27"/>
      <c r="F88" s="28"/>
      <c r="G88" s="29"/>
    </row>
    <row r="89" spans="1:7" x14ac:dyDescent="0.35">
      <c r="A89" s="31"/>
      <c r="B89" s="32"/>
      <c r="E89" s="27"/>
      <c r="F89" s="28"/>
      <c r="G89" s="29"/>
    </row>
    <row r="90" spans="1:7" x14ac:dyDescent="0.35">
      <c r="A90" s="31"/>
      <c r="B90" s="32"/>
      <c r="E90" s="27"/>
      <c r="F90" s="28"/>
      <c r="G90" s="29"/>
    </row>
    <row r="91" spans="1:7" x14ac:dyDescent="0.35">
      <c r="A91" s="31"/>
      <c r="B91" s="32"/>
      <c r="E91" s="27"/>
      <c r="F91" s="28"/>
      <c r="G91" s="29"/>
    </row>
    <row r="92" spans="1:7" x14ac:dyDescent="0.35">
      <c r="A92" s="31"/>
      <c r="B92" s="32"/>
      <c r="E92" s="27"/>
      <c r="F92" s="28"/>
      <c r="G92" s="29"/>
    </row>
    <row r="93" spans="1:7" x14ac:dyDescent="0.35">
      <c r="A93" s="31"/>
      <c r="B93" s="32"/>
      <c r="E93" s="27"/>
      <c r="F93" s="28"/>
      <c r="G93" s="29"/>
    </row>
    <row r="94" spans="1:7" x14ac:dyDescent="0.35">
      <c r="A94" s="31"/>
      <c r="B94" s="32"/>
      <c r="E94" s="27"/>
      <c r="F94" s="28"/>
      <c r="G94" s="29"/>
    </row>
    <row r="95" spans="1:7" x14ac:dyDescent="0.35">
      <c r="A95" s="31"/>
      <c r="B95" s="32"/>
      <c r="E95" s="27"/>
      <c r="F95" s="28"/>
      <c r="G95" s="29"/>
    </row>
    <row r="96" spans="1:7" x14ac:dyDescent="0.35">
      <c r="A96" s="31"/>
      <c r="B96" s="32"/>
      <c r="E96" s="27"/>
      <c r="F96" s="28"/>
      <c r="G96" s="29"/>
    </row>
    <row r="97" spans="1:7" x14ac:dyDescent="0.35">
      <c r="A97" s="31"/>
      <c r="B97" s="32"/>
      <c r="E97" s="27"/>
      <c r="F97" s="28"/>
      <c r="G97" s="29"/>
    </row>
    <row r="98" spans="1:7" x14ac:dyDescent="0.35">
      <c r="A98" s="31"/>
      <c r="B98" s="32"/>
      <c r="E98" s="27"/>
      <c r="F98" s="28"/>
      <c r="G98" s="29"/>
    </row>
    <row r="99" spans="1:7" x14ac:dyDescent="0.35">
      <c r="A99" s="31"/>
      <c r="B99" s="32"/>
      <c r="E99" s="27"/>
      <c r="F99" s="28"/>
      <c r="G99" s="29"/>
    </row>
    <row r="100" spans="1:7" x14ac:dyDescent="0.35">
      <c r="A100" s="31"/>
      <c r="B100" s="32"/>
      <c r="E100" s="27"/>
      <c r="F100" s="28"/>
      <c r="G100" s="29"/>
    </row>
    <row r="101" spans="1:7" x14ac:dyDescent="0.35">
      <c r="A101" s="31"/>
      <c r="B101" s="32"/>
      <c r="E101" s="27"/>
      <c r="F101" s="28"/>
      <c r="G101" s="29"/>
    </row>
    <row r="102" spans="1:7" x14ac:dyDescent="0.35">
      <c r="A102" s="31"/>
      <c r="B102" s="32"/>
      <c r="E102" s="27"/>
      <c r="F102" s="28"/>
      <c r="G102" s="29"/>
    </row>
    <row r="103" spans="1:7" x14ac:dyDescent="0.35">
      <c r="A103" s="31"/>
      <c r="B103" s="32"/>
      <c r="E103" s="27"/>
      <c r="F103" s="28"/>
      <c r="G103" s="29"/>
    </row>
    <row r="104" spans="1:7" x14ac:dyDescent="0.35">
      <c r="A104" s="31"/>
      <c r="B104" s="32"/>
      <c r="E104" s="27"/>
      <c r="F104" s="28"/>
      <c r="G104" s="29"/>
    </row>
    <row r="105" spans="1:7" x14ac:dyDescent="0.35">
      <c r="A105" s="31"/>
      <c r="B105" s="32"/>
      <c r="E105" s="27"/>
      <c r="F105" s="28"/>
      <c r="G105" s="29"/>
    </row>
    <row r="106" spans="1:7" x14ac:dyDescent="0.35">
      <c r="A106" s="31"/>
      <c r="B106" s="32"/>
      <c r="E106" s="27"/>
      <c r="F106" s="28"/>
      <c r="G106" s="29"/>
    </row>
    <row r="107" spans="1:7" x14ac:dyDescent="0.35">
      <c r="A107" s="31"/>
      <c r="B107" s="32"/>
      <c r="E107" s="27"/>
      <c r="F107" s="28"/>
      <c r="G107" s="29"/>
    </row>
    <row r="108" spans="1:7" x14ac:dyDescent="0.35">
      <c r="A108" s="31"/>
      <c r="B108" s="32"/>
      <c r="E108" s="27"/>
      <c r="F108" s="28"/>
      <c r="G108" s="29"/>
    </row>
    <row r="109" spans="1:7" x14ac:dyDescent="0.35">
      <c r="A109" s="31"/>
      <c r="B109" s="32"/>
      <c r="E109" s="27"/>
      <c r="F109" s="28"/>
      <c r="G109" s="29"/>
    </row>
    <row r="110" spans="1:7" x14ac:dyDescent="0.35">
      <c r="A110" s="31"/>
      <c r="B110" s="32"/>
      <c r="E110" s="27"/>
      <c r="F110" s="28"/>
      <c r="G110" s="29"/>
    </row>
    <row r="111" spans="1:7" x14ac:dyDescent="0.35">
      <c r="A111" s="31"/>
      <c r="B111" s="32"/>
      <c r="E111" s="27"/>
      <c r="F111" s="28"/>
      <c r="G111" s="29"/>
    </row>
    <row r="112" spans="1:7" x14ac:dyDescent="0.35">
      <c r="A112" s="31"/>
      <c r="B112" s="32"/>
      <c r="E112" s="27"/>
      <c r="F112" s="28"/>
      <c r="G112" s="29"/>
    </row>
    <row r="113" spans="1:7" x14ac:dyDescent="0.35">
      <c r="A113" s="31"/>
      <c r="B113" s="32"/>
      <c r="E113" s="27"/>
      <c r="F113" s="28"/>
      <c r="G113" s="29"/>
    </row>
    <row r="114" spans="1:7" x14ac:dyDescent="0.35">
      <c r="A114" s="31"/>
      <c r="B114" s="32"/>
      <c r="E114" s="27"/>
      <c r="F114" s="28"/>
      <c r="G114" s="29"/>
    </row>
    <row r="115" spans="1:7" x14ac:dyDescent="0.35">
      <c r="A115" s="31"/>
      <c r="B115" s="32"/>
      <c r="E115" s="27"/>
      <c r="F115" s="28"/>
      <c r="G115" s="29"/>
    </row>
    <row r="116" spans="1:7" x14ac:dyDescent="0.35">
      <c r="A116" s="31"/>
      <c r="B116" s="32"/>
      <c r="E116" s="27"/>
      <c r="F116" s="28"/>
      <c r="G116" s="29"/>
    </row>
    <row r="117" spans="1:7" x14ac:dyDescent="0.35">
      <c r="A117" s="31"/>
      <c r="B117" s="32"/>
      <c r="E117" s="27"/>
      <c r="F117" s="28"/>
      <c r="G117" s="29"/>
    </row>
    <row r="118" spans="1:7" x14ac:dyDescent="0.35">
      <c r="A118" s="31"/>
      <c r="B118" s="32"/>
      <c r="E118" s="27"/>
      <c r="F118" s="28"/>
      <c r="G118" s="29"/>
    </row>
    <row r="119" spans="1:7" x14ac:dyDescent="0.35">
      <c r="A119" s="31"/>
      <c r="B119" s="32"/>
      <c r="E119" s="27"/>
      <c r="F119" s="28"/>
      <c r="G119" s="29"/>
    </row>
    <row r="120" spans="1:7" x14ac:dyDescent="0.35">
      <c r="A120" s="31"/>
      <c r="B120" s="32"/>
      <c r="E120" s="27"/>
      <c r="F120" s="28"/>
      <c r="G120" s="29"/>
    </row>
    <row r="121" spans="1:7" x14ac:dyDescent="0.35">
      <c r="A121" s="31"/>
      <c r="B121" s="32"/>
      <c r="E121" s="27"/>
      <c r="F121" s="28"/>
      <c r="G121" s="29"/>
    </row>
    <row r="122" spans="1:7" x14ac:dyDescent="0.35">
      <c r="A122" s="31"/>
      <c r="B122" s="32"/>
      <c r="E122" s="27"/>
      <c r="F122" s="28"/>
      <c r="G122" s="29"/>
    </row>
    <row r="123" spans="1:7" x14ac:dyDescent="0.35">
      <c r="A123" s="31"/>
      <c r="B123" s="32"/>
      <c r="E123" s="27"/>
      <c r="F123" s="28"/>
      <c r="G123" s="29"/>
    </row>
    <row r="124" spans="1:7" x14ac:dyDescent="0.35">
      <c r="A124" s="31"/>
      <c r="B124" s="32"/>
      <c r="E124" s="27"/>
      <c r="F124" s="28"/>
      <c r="G124" s="29"/>
    </row>
    <row r="125" spans="1:7" x14ac:dyDescent="0.35">
      <c r="A125" s="31"/>
      <c r="B125" s="32"/>
      <c r="E125" s="27"/>
      <c r="F125" s="28"/>
      <c r="G125" s="29"/>
    </row>
    <row r="126" spans="1:7" x14ac:dyDescent="0.35">
      <c r="A126" s="31"/>
      <c r="B126" s="32"/>
      <c r="E126" s="27"/>
      <c r="F126" s="28"/>
      <c r="G126" s="29"/>
    </row>
    <row r="127" spans="1:7" x14ac:dyDescent="0.35">
      <c r="A127" s="31"/>
      <c r="B127" s="32"/>
      <c r="E127" s="27"/>
      <c r="F127" s="28"/>
      <c r="G127" s="29"/>
    </row>
    <row r="128" spans="1:7" x14ac:dyDescent="0.35">
      <c r="A128" s="31"/>
      <c r="B128" s="32"/>
      <c r="E128" s="27"/>
      <c r="F128" s="28"/>
      <c r="G128" s="29"/>
    </row>
    <row r="129" spans="1:7" x14ac:dyDescent="0.35">
      <c r="A129" s="31"/>
      <c r="B129" s="32"/>
      <c r="E129" s="27"/>
      <c r="F129" s="28"/>
      <c r="G129" s="29"/>
    </row>
    <row r="130" spans="1:7" x14ac:dyDescent="0.35">
      <c r="A130" s="31"/>
      <c r="B130" s="32"/>
      <c r="E130" s="27"/>
      <c r="F130" s="28"/>
      <c r="G130" s="29"/>
    </row>
    <row r="131" spans="1:7" x14ac:dyDescent="0.35">
      <c r="A131" s="31"/>
      <c r="B131" s="32"/>
      <c r="E131" s="27"/>
      <c r="F131" s="28"/>
      <c r="G131" s="29"/>
    </row>
    <row r="132" spans="1:7" x14ac:dyDescent="0.35">
      <c r="A132" s="31"/>
      <c r="B132" s="32"/>
      <c r="E132" s="27"/>
      <c r="F132" s="28"/>
      <c r="G132" s="29"/>
    </row>
    <row r="133" spans="1:7" x14ac:dyDescent="0.35">
      <c r="A133" s="31"/>
      <c r="B133" s="32"/>
      <c r="E133" s="27"/>
      <c r="F133" s="28"/>
      <c r="G133" s="29"/>
    </row>
    <row r="134" spans="1:7" x14ac:dyDescent="0.35">
      <c r="A134" s="31"/>
      <c r="B134" s="32"/>
      <c r="E134" s="27"/>
      <c r="F134" s="28"/>
      <c r="G134" s="29"/>
    </row>
    <row r="135" spans="1:7" x14ac:dyDescent="0.35">
      <c r="A135" s="31"/>
      <c r="B135" s="32"/>
      <c r="E135" s="27"/>
      <c r="F135" s="28"/>
      <c r="G135" s="29"/>
    </row>
    <row r="136" spans="1:7" x14ac:dyDescent="0.35">
      <c r="A136" s="31"/>
      <c r="B136" s="32"/>
      <c r="E136" s="27"/>
      <c r="F136" s="28"/>
      <c r="G136" s="29"/>
    </row>
    <row r="137" spans="1:7" x14ac:dyDescent="0.35">
      <c r="A137" s="31"/>
      <c r="B137" s="32"/>
      <c r="E137" s="27"/>
      <c r="F137" s="28"/>
      <c r="G137" s="29"/>
    </row>
    <row r="138" spans="1:7" x14ac:dyDescent="0.35">
      <c r="A138" s="31"/>
      <c r="B138" s="32"/>
      <c r="E138" s="27"/>
      <c r="F138" s="28"/>
      <c r="G138" s="29"/>
    </row>
    <row r="139" spans="1:7" x14ac:dyDescent="0.35">
      <c r="A139" s="31"/>
      <c r="B139" s="32"/>
      <c r="E139" s="27"/>
      <c r="F139" s="28"/>
      <c r="G139" s="29"/>
    </row>
    <row r="140" spans="1:7" x14ac:dyDescent="0.35">
      <c r="A140" s="31"/>
      <c r="B140" s="32"/>
      <c r="E140" s="27"/>
      <c r="F140" s="28"/>
      <c r="G140" s="29"/>
    </row>
    <row r="141" spans="1:7" x14ac:dyDescent="0.35">
      <c r="A141" s="31"/>
      <c r="B141" s="32"/>
    </row>
    <row r="142" spans="1:7" x14ac:dyDescent="0.35">
      <c r="A142" s="31"/>
      <c r="B142" s="32"/>
    </row>
    <row r="143" spans="1:7" x14ac:dyDescent="0.35">
      <c r="A143" s="31"/>
      <c r="B143" s="32"/>
    </row>
    <row r="144" spans="1:7" x14ac:dyDescent="0.35">
      <c r="A144" s="31"/>
      <c r="B144" s="32"/>
    </row>
    <row r="145" spans="1:2" x14ac:dyDescent="0.35">
      <c r="A145" s="31"/>
      <c r="B145" s="32"/>
    </row>
    <row r="146" spans="1:2" x14ac:dyDescent="0.35">
      <c r="A146" s="31"/>
      <c r="B146" s="32"/>
    </row>
    <row r="147" spans="1:2" x14ac:dyDescent="0.35">
      <c r="A147" s="31"/>
      <c r="B147" s="32"/>
    </row>
    <row r="148" spans="1:2" x14ac:dyDescent="0.35">
      <c r="A148" s="31"/>
      <c r="B148" s="32"/>
    </row>
    <row r="149" spans="1:2" x14ac:dyDescent="0.35">
      <c r="A149" s="31"/>
      <c r="B149" s="32"/>
    </row>
    <row r="150" spans="1:2" x14ac:dyDescent="0.35">
      <c r="A150" s="31"/>
      <c r="B150" s="32"/>
    </row>
    <row r="151" spans="1:2" x14ac:dyDescent="0.35">
      <c r="A151" s="31"/>
      <c r="B151" s="32"/>
    </row>
    <row r="152" spans="1:2" x14ac:dyDescent="0.35">
      <c r="A152" s="31"/>
      <c r="B152" s="32"/>
    </row>
    <row r="161" spans="2:2" x14ac:dyDescent="0.35">
      <c r="B161" s="32"/>
    </row>
    <row r="162" spans="2:2" x14ac:dyDescent="0.35">
      <c r="B162" s="32"/>
    </row>
    <row r="163" spans="2:2" x14ac:dyDescent="0.35">
      <c r="B163" s="32"/>
    </row>
    <row r="164" spans="2:2" x14ac:dyDescent="0.35">
      <c r="B164" s="32"/>
    </row>
    <row r="165" spans="2:2" x14ac:dyDescent="0.35">
      <c r="B165" s="32"/>
    </row>
    <row r="166" spans="2:2" x14ac:dyDescent="0.35">
      <c r="B166" s="32"/>
    </row>
    <row r="167" spans="2:2" x14ac:dyDescent="0.35">
      <c r="B167" s="32"/>
    </row>
    <row r="219" spans="2:2" x14ac:dyDescent="0.35">
      <c r="B219" s="32"/>
    </row>
    <row r="220" spans="2:2" x14ac:dyDescent="0.35">
      <c r="B220" s="32"/>
    </row>
    <row r="221" spans="2:2" x14ac:dyDescent="0.35">
      <c r="B221" s="32"/>
    </row>
    <row r="222" spans="2:2" x14ac:dyDescent="0.35">
      <c r="B222" s="32"/>
    </row>
    <row r="223" spans="2:2" x14ac:dyDescent="0.35">
      <c r="B223" s="32"/>
    </row>
    <row r="224" spans="2:2" x14ac:dyDescent="0.35">
      <c r="B224" s="32"/>
    </row>
    <row r="225" spans="2:2" x14ac:dyDescent="0.35">
      <c r="B225" s="32"/>
    </row>
    <row r="226" spans="2:2" x14ac:dyDescent="0.35">
      <c r="B226" s="32"/>
    </row>
    <row r="227" spans="2:2" x14ac:dyDescent="0.35">
      <c r="B227" s="32"/>
    </row>
    <row r="228" spans="2:2" x14ac:dyDescent="0.35">
      <c r="B228" s="32"/>
    </row>
    <row r="229" spans="2:2" x14ac:dyDescent="0.35">
      <c r="B229" s="32"/>
    </row>
    <row r="230" spans="2:2" x14ac:dyDescent="0.35">
      <c r="B230" s="32"/>
    </row>
    <row r="231" spans="2:2" x14ac:dyDescent="0.35">
      <c r="B231" s="32"/>
    </row>
    <row r="232" spans="2:2" x14ac:dyDescent="0.35">
      <c r="B232" s="32"/>
    </row>
    <row r="233" spans="2:2" x14ac:dyDescent="0.35">
      <c r="B233" s="32"/>
    </row>
    <row r="234" spans="2:2" x14ac:dyDescent="0.35">
      <c r="B234" s="32"/>
    </row>
    <row r="235" spans="2:2" x14ac:dyDescent="0.35">
      <c r="B235" s="32"/>
    </row>
    <row r="236" spans="2:2" x14ac:dyDescent="0.35">
      <c r="B236" s="32"/>
    </row>
    <row r="237" spans="2:2" x14ac:dyDescent="0.35">
      <c r="B237" s="32"/>
    </row>
    <row r="238" spans="2:2" x14ac:dyDescent="0.35">
      <c r="B238" s="32"/>
    </row>
    <row r="239" spans="2:2" x14ac:dyDescent="0.35">
      <c r="B239" s="32"/>
    </row>
    <row r="240" spans="2:2" x14ac:dyDescent="0.35">
      <c r="B240" s="32"/>
    </row>
  </sheetData>
  <sortState xmlns:xlrd2="http://schemas.microsoft.com/office/spreadsheetml/2017/richdata2" ref="A2:B43">
    <sortCondition ref="A1"/>
  </sortState>
  <dataValidations count="2">
    <dataValidation type="decimal" operator="greaterThan" allowBlank="1" showInputMessage="1" showErrorMessage="1" errorTitle="Measurement value" error="Only enter values larger than 0. If measurement value equals 0, substitute with 0.333333333." sqref="B241:B1048576 B1" xr:uid="{00000000-0002-0000-0100-000000000000}">
      <formula1>0</formula1>
    </dataValidation>
    <dataValidation type="decimal" operator="greaterThan" showErrorMessage="1" errorTitle="Measurement Value" error="Only enter values larger than 0. If measurement value equals 0, substitute with 0.333333333." sqref="B131:B226 B2:B116" xr:uid="{00000000-0002-0000-0100-000001000000}">
      <formula1>0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E211"/>
  <sheetViews>
    <sheetView workbookViewId="0">
      <pane ySplit="1" topLeftCell="A14" activePane="bottomLeft" state="frozen"/>
      <selection pane="bottomLeft" activeCell="A2" sqref="A2:XFD10"/>
    </sheetView>
  </sheetViews>
  <sheetFormatPr defaultRowHeight="14.5" x14ac:dyDescent="0.35"/>
  <cols>
    <col min="1" max="1" width="29.90625" style="34" bestFit="1" customWidth="1"/>
    <col min="2" max="2" width="12.36328125" style="33" customWidth="1"/>
    <col min="5" max="5" width="9.90625" bestFit="1" customWidth="1"/>
    <col min="7" max="7" width="15" bestFit="1" customWidth="1"/>
  </cols>
  <sheetData>
    <row r="1" spans="1:7" s="1" customFormat="1" x14ac:dyDescent="0.35">
      <c r="A1" s="35" t="s">
        <v>0</v>
      </c>
      <c r="B1" s="26" t="s">
        <v>2</v>
      </c>
    </row>
    <row r="2" spans="1:7" x14ac:dyDescent="0.35">
      <c r="A2" s="31">
        <v>45265</v>
      </c>
      <c r="B2" s="32">
        <v>101</v>
      </c>
      <c r="E2" s="27"/>
      <c r="F2" s="28"/>
      <c r="G2" s="29"/>
    </row>
    <row r="3" spans="1:7" x14ac:dyDescent="0.35">
      <c r="A3" s="31">
        <v>45301</v>
      </c>
      <c r="B3" s="32">
        <v>5</v>
      </c>
      <c r="E3" s="27"/>
      <c r="F3" s="28"/>
      <c r="G3" s="29"/>
    </row>
    <row r="4" spans="1:7" x14ac:dyDescent="0.35">
      <c r="A4" s="31">
        <v>45308</v>
      </c>
      <c r="B4" s="32">
        <v>7</v>
      </c>
      <c r="E4" s="27"/>
      <c r="F4" s="28"/>
      <c r="G4" s="29"/>
    </row>
    <row r="5" spans="1:7" x14ac:dyDescent="0.35">
      <c r="A5" s="31">
        <v>45314</v>
      </c>
      <c r="B5" s="32">
        <f>1/3</f>
        <v>0.33333333333333331</v>
      </c>
      <c r="E5" s="27"/>
      <c r="F5" s="28"/>
      <c r="G5" s="29"/>
    </row>
    <row r="6" spans="1:7" x14ac:dyDescent="0.35">
      <c r="A6" s="31">
        <v>45321</v>
      </c>
      <c r="B6" s="32">
        <v>22</v>
      </c>
      <c r="E6" s="27"/>
      <c r="F6" s="28"/>
      <c r="G6" s="29"/>
    </row>
    <row r="7" spans="1:7" x14ac:dyDescent="0.35">
      <c r="A7" s="31">
        <v>45328</v>
      </c>
      <c r="B7" s="32">
        <f>1/3</f>
        <v>0.33333333333333331</v>
      </c>
      <c r="E7" s="27"/>
      <c r="F7" s="28"/>
      <c r="G7" s="29"/>
    </row>
    <row r="8" spans="1:7" x14ac:dyDescent="0.35">
      <c r="A8" s="31">
        <v>45335</v>
      </c>
      <c r="B8" s="32">
        <v>29</v>
      </c>
      <c r="E8" s="27"/>
      <c r="F8" s="28"/>
      <c r="G8" s="29"/>
    </row>
    <row r="9" spans="1:7" x14ac:dyDescent="0.35">
      <c r="A9" s="31">
        <v>45342</v>
      </c>
      <c r="B9" s="33">
        <v>14</v>
      </c>
      <c r="E9" s="27"/>
      <c r="F9" s="28"/>
      <c r="G9" s="29"/>
    </row>
    <row r="10" spans="1:7" x14ac:dyDescent="0.35">
      <c r="A10" s="31">
        <v>45349</v>
      </c>
      <c r="B10" s="32">
        <f>1/3</f>
        <v>0.33333333333333331</v>
      </c>
      <c r="E10" s="27"/>
      <c r="F10" s="28"/>
      <c r="G10" s="29"/>
    </row>
    <row r="11" spans="1:7" x14ac:dyDescent="0.35">
      <c r="A11" s="31">
        <v>45356</v>
      </c>
      <c r="B11" s="32">
        <v>12</v>
      </c>
      <c r="E11" s="27"/>
      <c r="F11" s="28"/>
      <c r="G11" s="29"/>
    </row>
    <row r="12" spans="1:7" x14ac:dyDescent="0.35">
      <c r="A12" s="31">
        <v>45363</v>
      </c>
      <c r="B12" s="32">
        <v>855</v>
      </c>
      <c r="E12" s="27"/>
      <c r="F12" s="28"/>
      <c r="G12" s="29"/>
    </row>
    <row r="13" spans="1:7" x14ac:dyDescent="0.35">
      <c r="A13" s="31">
        <v>45371</v>
      </c>
      <c r="B13" s="32">
        <v>25</v>
      </c>
      <c r="E13" s="27"/>
      <c r="F13" s="28"/>
      <c r="G13" s="29"/>
    </row>
    <row r="14" spans="1:7" x14ac:dyDescent="0.35">
      <c r="A14" s="31">
        <v>45377</v>
      </c>
      <c r="B14" s="32">
        <v>23</v>
      </c>
      <c r="E14" s="27"/>
      <c r="F14" s="28"/>
      <c r="G14" s="29"/>
    </row>
    <row r="15" spans="1:7" x14ac:dyDescent="0.35">
      <c r="A15" s="31">
        <v>45384</v>
      </c>
      <c r="B15" s="32">
        <v>5</v>
      </c>
      <c r="E15" s="27"/>
      <c r="F15" s="28"/>
      <c r="G15" s="29"/>
    </row>
    <row r="16" spans="1:7" x14ac:dyDescent="0.35">
      <c r="A16" s="31">
        <v>45391</v>
      </c>
      <c r="B16" s="32">
        <v>325</v>
      </c>
      <c r="E16" s="27"/>
      <c r="F16" s="28"/>
      <c r="G16" s="29"/>
    </row>
    <row r="17" spans="1:7" x14ac:dyDescent="0.35">
      <c r="A17" s="31">
        <v>45399</v>
      </c>
      <c r="B17" s="32">
        <v>5</v>
      </c>
      <c r="E17" s="27"/>
      <c r="F17" s="28"/>
      <c r="G17" s="29"/>
    </row>
    <row r="18" spans="1:7" x14ac:dyDescent="0.35">
      <c r="A18" s="31">
        <v>45405</v>
      </c>
      <c r="B18" s="32">
        <v>37</v>
      </c>
      <c r="E18" s="27"/>
      <c r="F18" s="28"/>
      <c r="G18" s="29"/>
    </row>
    <row r="19" spans="1:7" x14ac:dyDescent="0.35">
      <c r="A19" s="31">
        <v>45412</v>
      </c>
      <c r="B19" s="32">
        <v>2</v>
      </c>
      <c r="E19" s="27"/>
      <c r="F19" s="28"/>
      <c r="G19" s="29"/>
    </row>
    <row r="20" spans="1:7" x14ac:dyDescent="0.35">
      <c r="A20" s="31">
        <v>45419</v>
      </c>
      <c r="B20" s="32">
        <v>99</v>
      </c>
      <c r="E20" s="27"/>
      <c r="F20" s="28"/>
      <c r="G20" s="29"/>
    </row>
    <row r="21" spans="1:7" x14ac:dyDescent="0.35">
      <c r="A21" s="31">
        <v>45426</v>
      </c>
      <c r="B21" s="32">
        <f>1/3</f>
        <v>0.33333333333333331</v>
      </c>
      <c r="E21" s="27"/>
      <c r="F21" s="28"/>
      <c r="G21" s="29"/>
    </row>
    <row r="22" spans="1:7" x14ac:dyDescent="0.35">
      <c r="A22" s="31">
        <v>45433</v>
      </c>
      <c r="B22" s="32">
        <v>130</v>
      </c>
      <c r="E22" s="27"/>
      <c r="F22" s="28"/>
      <c r="G22" s="29"/>
    </row>
    <row r="23" spans="1:7" x14ac:dyDescent="0.35">
      <c r="A23" s="31">
        <v>45440</v>
      </c>
      <c r="B23" s="32">
        <v>20</v>
      </c>
      <c r="E23" s="27"/>
      <c r="F23" s="28"/>
      <c r="G23" s="29"/>
    </row>
    <row r="24" spans="1:7" x14ac:dyDescent="0.35">
      <c r="A24" s="31">
        <v>45447</v>
      </c>
      <c r="B24" s="32">
        <f>1500*3</f>
        <v>4500</v>
      </c>
      <c r="E24" s="27"/>
      <c r="F24" s="28"/>
      <c r="G24" s="29"/>
    </row>
    <row r="25" spans="1:7" x14ac:dyDescent="0.35">
      <c r="A25" s="31">
        <v>45454</v>
      </c>
      <c r="B25" s="32">
        <f>1500*3</f>
        <v>4500</v>
      </c>
      <c r="E25" s="27"/>
      <c r="F25" s="28"/>
      <c r="G25" s="29"/>
    </row>
    <row r="26" spans="1:7" x14ac:dyDescent="0.35">
      <c r="A26" s="31">
        <v>45461</v>
      </c>
      <c r="B26" s="32">
        <v>380</v>
      </c>
      <c r="E26" s="27"/>
      <c r="F26" s="28"/>
      <c r="G26" s="29"/>
    </row>
    <row r="27" spans="1:7" x14ac:dyDescent="0.35">
      <c r="A27" s="31">
        <v>45468</v>
      </c>
      <c r="B27" s="32">
        <v>680</v>
      </c>
      <c r="E27" s="27"/>
      <c r="F27" s="28"/>
      <c r="G27" s="29"/>
    </row>
    <row r="28" spans="1:7" x14ac:dyDescent="0.35">
      <c r="A28" s="31">
        <v>45475</v>
      </c>
      <c r="B28" s="32">
        <v>600</v>
      </c>
      <c r="E28" s="27"/>
      <c r="F28" s="28"/>
      <c r="G28" s="29"/>
    </row>
    <row r="29" spans="1:7" x14ac:dyDescent="0.35">
      <c r="A29" s="31">
        <v>45482</v>
      </c>
      <c r="B29" s="32">
        <f>1500*3</f>
        <v>4500</v>
      </c>
      <c r="E29" s="27"/>
      <c r="F29" s="28"/>
      <c r="G29" s="29"/>
    </row>
    <row r="30" spans="1:7" x14ac:dyDescent="0.35">
      <c r="A30" s="31">
        <v>45489</v>
      </c>
      <c r="B30" s="32">
        <v>0</v>
      </c>
      <c r="E30" s="27"/>
      <c r="F30" s="28"/>
      <c r="G30" s="29"/>
    </row>
    <row r="31" spans="1:7" x14ac:dyDescent="0.35">
      <c r="A31" s="31">
        <v>45496</v>
      </c>
      <c r="B31" s="32">
        <f>150*3</f>
        <v>450</v>
      </c>
      <c r="E31" s="27"/>
      <c r="F31" s="28"/>
      <c r="G31" s="29"/>
    </row>
    <row r="32" spans="1:7" x14ac:dyDescent="0.35">
      <c r="A32" s="31">
        <v>45503</v>
      </c>
      <c r="B32" s="32">
        <f>1500*3</f>
        <v>4500</v>
      </c>
      <c r="E32" s="27"/>
      <c r="F32" s="28"/>
      <c r="G32" s="29"/>
    </row>
    <row r="33" spans="1:7" x14ac:dyDescent="0.35">
      <c r="A33" s="31">
        <v>45510</v>
      </c>
      <c r="B33" s="32">
        <f>1500*3</f>
        <v>4500</v>
      </c>
      <c r="E33" s="27"/>
      <c r="F33" s="28"/>
      <c r="G33" s="29"/>
    </row>
    <row r="34" spans="1:7" x14ac:dyDescent="0.35">
      <c r="A34" s="31">
        <v>45516</v>
      </c>
      <c r="B34" s="32">
        <v>48</v>
      </c>
      <c r="E34" s="27"/>
      <c r="F34" s="28"/>
      <c r="G34" s="29"/>
    </row>
    <row r="35" spans="1:7" x14ac:dyDescent="0.35">
      <c r="A35" s="31">
        <v>45524</v>
      </c>
      <c r="B35" s="32">
        <v>330</v>
      </c>
      <c r="E35" s="27"/>
      <c r="F35" s="28"/>
      <c r="G35" s="29"/>
    </row>
    <row r="36" spans="1:7" x14ac:dyDescent="0.35">
      <c r="A36" s="31">
        <v>45531</v>
      </c>
      <c r="B36" s="32">
        <v>235</v>
      </c>
      <c r="E36" s="27"/>
      <c r="F36" s="28"/>
      <c r="G36" s="29"/>
    </row>
    <row r="37" spans="1:7" x14ac:dyDescent="0.35">
      <c r="A37" s="31">
        <v>45538</v>
      </c>
      <c r="B37" s="32">
        <v>55</v>
      </c>
      <c r="E37" s="27"/>
      <c r="F37" s="28"/>
      <c r="G37" s="29"/>
    </row>
    <row r="38" spans="1:7" x14ac:dyDescent="0.35">
      <c r="A38" s="31">
        <v>45546</v>
      </c>
      <c r="B38" s="32">
        <v>110</v>
      </c>
      <c r="E38" s="27"/>
      <c r="F38" s="28"/>
      <c r="G38" s="29"/>
    </row>
    <row r="39" spans="1:7" x14ac:dyDescent="0.35">
      <c r="A39" s="31">
        <v>45553</v>
      </c>
      <c r="B39" s="32">
        <v>34</v>
      </c>
      <c r="E39" s="27"/>
      <c r="F39" s="28"/>
      <c r="G39" s="29"/>
    </row>
    <row r="40" spans="1:7" x14ac:dyDescent="0.35">
      <c r="A40" s="31">
        <v>45561</v>
      </c>
      <c r="B40" s="32">
        <v>72</v>
      </c>
      <c r="E40" s="27"/>
      <c r="F40" s="28"/>
      <c r="G40" s="29"/>
    </row>
    <row r="41" spans="1:7" x14ac:dyDescent="0.35">
      <c r="A41" s="31">
        <v>45566</v>
      </c>
      <c r="B41" s="32">
        <v>74</v>
      </c>
      <c r="E41" s="27"/>
      <c r="F41" s="28"/>
      <c r="G41" s="29"/>
    </row>
    <row r="42" spans="1:7" x14ac:dyDescent="0.35">
      <c r="A42" s="31">
        <v>45574</v>
      </c>
      <c r="B42" s="32">
        <v>280</v>
      </c>
      <c r="E42" s="27"/>
      <c r="F42" s="28"/>
      <c r="G42" s="29"/>
    </row>
    <row r="43" spans="1:7" x14ac:dyDescent="0.35">
      <c r="A43" s="31">
        <v>45581</v>
      </c>
      <c r="B43" s="32">
        <v>27</v>
      </c>
      <c r="E43" s="27"/>
      <c r="F43" s="28"/>
      <c r="G43" s="29"/>
    </row>
    <row r="44" spans="1:7" x14ac:dyDescent="0.35">
      <c r="A44" s="31">
        <v>45588</v>
      </c>
      <c r="B44" s="32">
        <v>2</v>
      </c>
      <c r="E44" s="27"/>
      <c r="F44" s="28"/>
      <c r="G44" s="29"/>
    </row>
    <row r="45" spans="1:7" x14ac:dyDescent="0.35">
      <c r="A45" s="31">
        <v>45594</v>
      </c>
      <c r="B45" s="32">
        <v>115</v>
      </c>
      <c r="E45" s="27"/>
      <c r="F45" s="28"/>
      <c r="G45" s="29"/>
    </row>
    <row r="46" spans="1:7" x14ac:dyDescent="0.35">
      <c r="A46" s="31">
        <v>45601</v>
      </c>
      <c r="B46" s="32">
        <v>69</v>
      </c>
      <c r="E46" s="27"/>
      <c r="F46" s="28"/>
      <c r="G46" s="29"/>
    </row>
    <row r="47" spans="1:7" x14ac:dyDescent="0.35">
      <c r="A47" s="31">
        <v>45608</v>
      </c>
      <c r="B47" s="32">
        <v>9</v>
      </c>
      <c r="E47" s="27"/>
      <c r="F47" s="28"/>
      <c r="G47" s="29"/>
    </row>
    <row r="48" spans="1:7" x14ac:dyDescent="0.35">
      <c r="A48" s="31">
        <v>45615</v>
      </c>
      <c r="B48" s="32">
        <v>11</v>
      </c>
      <c r="E48" s="27"/>
      <c r="F48" s="28"/>
      <c r="G48" s="29"/>
    </row>
    <row r="49" spans="1:31" x14ac:dyDescent="0.35">
      <c r="A49" s="31"/>
      <c r="B49" s="32"/>
      <c r="E49" s="27"/>
      <c r="F49" s="28"/>
      <c r="G49" s="29"/>
    </row>
    <row r="50" spans="1:31" x14ac:dyDescent="0.35">
      <c r="A50" s="31"/>
      <c r="B50" s="32"/>
      <c r="E50" s="27"/>
      <c r="F50" s="28"/>
      <c r="G50" s="29"/>
    </row>
    <row r="51" spans="1:31" x14ac:dyDescent="0.35">
      <c r="A51" s="31"/>
      <c r="B51" s="32"/>
      <c r="E51" s="27"/>
      <c r="F51" s="28"/>
      <c r="G51" s="29"/>
    </row>
    <row r="52" spans="1:31" x14ac:dyDescent="0.35">
      <c r="A52" s="31"/>
      <c r="B52" s="32"/>
      <c r="E52" s="27"/>
      <c r="F52" s="37"/>
      <c r="G52" s="29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</row>
    <row r="53" spans="1:31" x14ac:dyDescent="0.35">
      <c r="A53" s="31"/>
      <c r="B53" s="32"/>
      <c r="E53" s="27"/>
      <c r="F53" s="28"/>
      <c r="G53" s="29"/>
    </row>
    <row r="54" spans="1:31" x14ac:dyDescent="0.35">
      <c r="A54" s="31"/>
      <c r="B54" s="32"/>
      <c r="E54" s="27"/>
      <c r="F54" s="28"/>
      <c r="G54" s="29"/>
    </row>
    <row r="55" spans="1:31" x14ac:dyDescent="0.35">
      <c r="A55" s="31"/>
      <c r="B55" s="32"/>
      <c r="E55" s="27"/>
      <c r="F55" s="28"/>
      <c r="G55" s="29"/>
    </row>
    <row r="56" spans="1:31" x14ac:dyDescent="0.35">
      <c r="E56" s="27"/>
      <c r="F56" s="28"/>
      <c r="G56" s="29"/>
    </row>
    <row r="57" spans="1:31" x14ac:dyDescent="0.35">
      <c r="E57" s="27"/>
      <c r="F57" s="28"/>
      <c r="G57" s="29"/>
    </row>
    <row r="58" spans="1:31" x14ac:dyDescent="0.35">
      <c r="E58" s="27"/>
      <c r="F58" s="28"/>
      <c r="G58" s="29"/>
    </row>
    <row r="59" spans="1:31" x14ac:dyDescent="0.35">
      <c r="E59" s="27"/>
      <c r="F59" s="28"/>
      <c r="G59" s="29"/>
    </row>
    <row r="60" spans="1:31" x14ac:dyDescent="0.35">
      <c r="E60" s="27"/>
      <c r="F60" s="28"/>
      <c r="G60" s="29"/>
    </row>
    <row r="61" spans="1:31" x14ac:dyDescent="0.35">
      <c r="E61" s="27"/>
      <c r="F61" s="28"/>
      <c r="G61" s="29"/>
    </row>
    <row r="62" spans="1:31" x14ac:dyDescent="0.35">
      <c r="E62" s="27"/>
      <c r="F62" s="28"/>
      <c r="G62" s="29"/>
    </row>
    <row r="63" spans="1:31" x14ac:dyDescent="0.35">
      <c r="E63" s="27"/>
      <c r="F63" s="28"/>
      <c r="G63" s="29"/>
    </row>
    <row r="64" spans="1:31" x14ac:dyDescent="0.35">
      <c r="E64" s="27"/>
      <c r="F64" s="28"/>
      <c r="G64" s="29"/>
    </row>
    <row r="65" spans="5:7" x14ac:dyDescent="0.35">
      <c r="E65" s="27"/>
      <c r="F65" s="28"/>
      <c r="G65" s="29"/>
    </row>
    <row r="66" spans="5:7" x14ac:dyDescent="0.35">
      <c r="E66" s="27"/>
      <c r="F66" s="28"/>
      <c r="G66" s="29"/>
    </row>
    <row r="67" spans="5:7" x14ac:dyDescent="0.35">
      <c r="E67" s="27"/>
      <c r="F67" s="28"/>
      <c r="G67" s="29"/>
    </row>
    <row r="68" spans="5:7" x14ac:dyDescent="0.35">
      <c r="E68" s="27"/>
      <c r="F68" s="28"/>
      <c r="G68" s="29"/>
    </row>
    <row r="69" spans="5:7" x14ac:dyDescent="0.35">
      <c r="E69" s="27"/>
      <c r="F69" s="28"/>
      <c r="G69" s="29"/>
    </row>
    <row r="70" spans="5:7" x14ac:dyDescent="0.35">
      <c r="E70" s="27"/>
      <c r="F70" s="28"/>
      <c r="G70" s="29"/>
    </row>
    <row r="71" spans="5:7" x14ac:dyDescent="0.35">
      <c r="E71" s="27"/>
      <c r="F71" s="28"/>
      <c r="G71" s="29"/>
    </row>
    <row r="72" spans="5:7" x14ac:dyDescent="0.35">
      <c r="E72" s="27"/>
      <c r="F72" s="28"/>
      <c r="G72" s="29"/>
    </row>
    <row r="73" spans="5:7" x14ac:dyDescent="0.35">
      <c r="E73" s="27"/>
      <c r="F73" s="28"/>
      <c r="G73" s="29"/>
    </row>
    <row r="74" spans="5:7" x14ac:dyDescent="0.35">
      <c r="E74" s="27"/>
      <c r="F74" s="28"/>
      <c r="G74" s="29"/>
    </row>
    <row r="75" spans="5:7" x14ac:dyDescent="0.35">
      <c r="E75" s="27"/>
      <c r="F75" s="28"/>
      <c r="G75" s="29"/>
    </row>
    <row r="76" spans="5:7" x14ac:dyDescent="0.35">
      <c r="E76" s="27"/>
      <c r="F76" s="28"/>
      <c r="G76" s="29"/>
    </row>
    <row r="77" spans="5:7" x14ac:dyDescent="0.35">
      <c r="E77" s="27"/>
      <c r="F77" s="28"/>
      <c r="G77" s="29"/>
    </row>
    <row r="78" spans="5:7" x14ac:dyDescent="0.35">
      <c r="E78" s="27"/>
      <c r="F78" s="28"/>
      <c r="G78" s="29"/>
    </row>
    <row r="79" spans="5:7" x14ac:dyDescent="0.35">
      <c r="E79" s="27"/>
      <c r="F79" s="28"/>
      <c r="G79" s="29"/>
    </row>
    <row r="80" spans="5:7" x14ac:dyDescent="0.35">
      <c r="E80" s="27"/>
      <c r="F80" s="28"/>
      <c r="G80" s="29"/>
    </row>
    <row r="81" spans="1:7" x14ac:dyDescent="0.35">
      <c r="E81" s="27"/>
      <c r="F81" s="28"/>
      <c r="G81" s="29"/>
    </row>
    <row r="82" spans="1:7" x14ac:dyDescent="0.35">
      <c r="A82" s="31"/>
      <c r="B82" s="32"/>
      <c r="E82" s="27"/>
      <c r="F82" s="28"/>
      <c r="G82" s="29"/>
    </row>
    <row r="83" spans="1:7" x14ac:dyDescent="0.35">
      <c r="A83" s="31"/>
      <c r="B83" s="32"/>
      <c r="E83" s="27"/>
      <c r="F83" s="28"/>
      <c r="G83" s="29"/>
    </row>
    <row r="84" spans="1:7" x14ac:dyDescent="0.35">
      <c r="A84" s="31"/>
      <c r="B84" s="32"/>
      <c r="E84" s="27"/>
      <c r="F84" s="28"/>
      <c r="G84" s="29"/>
    </row>
    <row r="85" spans="1:7" x14ac:dyDescent="0.35">
      <c r="A85" s="31"/>
      <c r="B85" s="32"/>
      <c r="E85" s="27"/>
      <c r="F85" s="28"/>
      <c r="G85" s="29"/>
    </row>
    <row r="86" spans="1:7" x14ac:dyDescent="0.35">
      <c r="A86" s="31"/>
      <c r="B86" s="32"/>
      <c r="E86" s="27"/>
      <c r="F86" s="28"/>
      <c r="G86" s="29"/>
    </row>
    <row r="87" spans="1:7" x14ac:dyDescent="0.35">
      <c r="A87" s="31"/>
      <c r="B87" s="32"/>
      <c r="E87" s="27"/>
      <c r="F87" s="28"/>
      <c r="G87" s="29"/>
    </row>
    <row r="88" spans="1:7" x14ac:dyDescent="0.35">
      <c r="A88" s="31"/>
      <c r="B88" s="32"/>
      <c r="E88" s="27"/>
      <c r="F88" s="28"/>
      <c r="G88" s="29"/>
    </row>
    <row r="89" spans="1:7" x14ac:dyDescent="0.35">
      <c r="A89" s="31"/>
      <c r="B89" s="32"/>
      <c r="E89" s="27"/>
      <c r="F89" s="28"/>
      <c r="G89" s="29"/>
    </row>
    <row r="90" spans="1:7" x14ac:dyDescent="0.35">
      <c r="A90" s="31"/>
      <c r="B90" s="32"/>
      <c r="E90" s="27"/>
      <c r="F90" s="28"/>
      <c r="G90" s="29"/>
    </row>
    <row r="91" spans="1:7" x14ac:dyDescent="0.35">
      <c r="A91" s="31"/>
      <c r="B91" s="32"/>
      <c r="E91" s="27"/>
      <c r="F91" s="28"/>
      <c r="G91" s="29"/>
    </row>
    <row r="92" spans="1:7" x14ac:dyDescent="0.35">
      <c r="A92" s="31"/>
      <c r="B92" s="32"/>
      <c r="E92" s="27"/>
      <c r="F92" s="28"/>
      <c r="G92" s="29"/>
    </row>
    <row r="93" spans="1:7" x14ac:dyDescent="0.35">
      <c r="A93" s="31"/>
      <c r="B93" s="32"/>
      <c r="E93" s="27"/>
      <c r="F93" s="28"/>
      <c r="G93" s="29"/>
    </row>
    <row r="94" spans="1:7" x14ac:dyDescent="0.35">
      <c r="A94" s="31"/>
      <c r="B94" s="32"/>
      <c r="E94" s="27"/>
      <c r="F94" s="28"/>
      <c r="G94" s="29"/>
    </row>
    <row r="95" spans="1:7" x14ac:dyDescent="0.35">
      <c r="A95" s="31"/>
      <c r="B95" s="32"/>
      <c r="E95" s="27"/>
      <c r="F95" s="28"/>
      <c r="G95" s="29"/>
    </row>
    <row r="96" spans="1:7" x14ac:dyDescent="0.35">
      <c r="A96" s="31"/>
      <c r="B96" s="32"/>
      <c r="E96" s="27"/>
      <c r="F96" s="28"/>
      <c r="G96" s="29"/>
    </row>
    <row r="97" spans="1:7" x14ac:dyDescent="0.35">
      <c r="A97" s="31"/>
      <c r="B97" s="32"/>
      <c r="E97" s="27"/>
      <c r="F97" s="28"/>
      <c r="G97" s="29"/>
    </row>
    <row r="98" spans="1:7" x14ac:dyDescent="0.35">
      <c r="A98" s="31"/>
      <c r="B98" s="32"/>
      <c r="E98" s="27"/>
      <c r="F98" s="28"/>
      <c r="G98" s="29"/>
    </row>
    <row r="99" spans="1:7" x14ac:dyDescent="0.35">
      <c r="A99" s="31"/>
      <c r="B99" s="32"/>
      <c r="E99" s="27"/>
      <c r="F99" s="28"/>
      <c r="G99" s="29"/>
    </row>
    <row r="100" spans="1:7" x14ac:dyDescent="0.35">
      <c r="A100" s="31"/>
      <c r="B100" s="32"/>
      <c r="E100" s="27"/>
      <c r="F100" s="28"/>
      <c r="G100" s="29"/>
    </row>
    <row r="101" spans="1:7" x14ac:dyDescent="0.35">
      <c r="A101" s="31"/>
      <c r="B101" s="32"/>
      <c r="E101" s="27"/>
      <c r="F101" s="28"/>
      <c r="G101" s="29"/>
    </row>
    <row r="102" spans="1:7" x14ac:dyDescent="0.35">
      <c r="A102" s="31"/>
      <c r="B102" s="32"/>
      <c r="E102" s="27"/>
      <c r="F102" s="28"/>
      <c r="G102" s="29"/>
    </row>
    <row r="103" spans="1:7" x14ac:dyDescent="0.35">
      <c r="A103" s="31"/>
      <c r="B103" s="32"/>
      <c r="E103" s="27"/>
      <c r="F103" s="28"/>
      <c r="G103" s="29"/>
    </row>
    <row r="104" spans="1:7" x14ac:dyDescent="0.35">
      <c r="A104" s="31"/>
      <c r="B104" s="32"/>
      <c r="E104" s="27"/>
      <c r="F104" s="28"/>
      <c r="G104" s="29"/>
    </row>
    <row r="105" spans="1:7" x14ac:dyDescent="0.35">
      <c r="A105" s="31"/>
      <c r="B105" s="32"/>
      <c r="E105" s="27"/>
      <c r="F105" s="28"/>
      <c r="G105" s="29"/>
    </row>
    <row r="106" spans="1:7" x14ac:dyDescent="0.35">
      <c r="A106" s="31"/>
      <c r="B106" s="32"/>
      <c r="E106" s="27"/>
      <c r="F106" s="28"/>
      <c r="G106" s="29"/>
    </row>
    <row r="107" spans="1:7" x14ac:dyDescent="0.35">
      <c r="A107" s="31"/>
      <c r="B107" s="32"/>
      <c r="E107" s="27"/>
      <c r="F107" s="28"/>
      <c r="G107" s="29"/>
    </row>
    <row r="108" spans="1:7" x14ac:dyDescent="0.35">
      <c r="A108" s="31"/>
      <c r="B108" s="32"/>
      <c r="E108" s="27"/>
      <c r="F108" s="28"/>
      <c r="G108" s="29"/>
    </row>
    <row r="109" spans="1:7" x14ac:dyDescent="0.35">
      <c r="A109" s="31"/>
      <c r="B109" s="32"/>
      <c r="E109" s="27"/>
      <c r="F109" s="28"/>
      <c r="G109" s="29"/>
    </row>
    <row r="110" spans="1:7" x14ac:dyDescent="0.35">
      <c r="A110" s="31"/>
      <c r="B110" s="32"/>
      <c r="E110" s="27"/>
      <c r="F110" s="28"/>
      <c r="G110" s="29"/>
    </row>
    <row r="111" spans="1:7" x14ac:dyDescent="0.35">
      <c r="A111" s="31"/>
      <c r="B111" s="32"/>
      <c r="E111" s="27"/>
      <c r="F111" s="28"/>
      <c r="G111" s="29"/>
    </row>
    <row r="112" spans="1:7" x14ac:dyDescent="0.35">
      <c r="A112" s="31"/>
      <c r="B112" s="32"/>
      <c r="E112" s="27"/>
      <c r="F112" s="28"/>
      <c r="G112" s="29"/>
    </row>
    <row r="113" spans="1:7" x14ac:dyDescent="0.35">
      <c r="A113" s="31"/>
      <c r="B113" s="32"/>
      <c r="E113" s="27"/>
      <c r="F113" s="28"/>
      <c r="G113" s="29"/>
    </row>
    <row r="114" spans="1:7" x14ac:dyDescent="0.35">
      <c r="A114" s="31"/>
      <c r="B114" s="32"/>
      <c r="E114" s="27"/>
      <c r="F114" s="28"/>
      <c r="G114" s="29"/>
    </row>
    <row r="115" spans="1:7" x14ac:dyDescent="0.35">
      <c r="A115" s="31"/>
      <c r="B115" s="32"/>
      <c r="E115" s="27"/>
      <c r="F115" s="28"/>
      <c r="G115" s="29"/>
    </row>
    <row r="116" spans="1:7" x14ac:dyDescent="0.35">
      <c r="A116" s="31"/>
      <c r="B116" s="32"/>
      <c r="E116" s="27"/>
      <c r="F116" s="28"/>
      <c r="G116" s="29"/>
    </row>
    <row r="117" spans="1:7" x14ac:dyDescent="0.35">
      <c r="A117" s="31"/>
      <c r="B117" s="32"/>
      <c r="E117" s="27"/>
      <c r="F117" s="28"/>
      <c r="G117" s="29"/>
    </row>
    <row r="118" spans="1:7" x14ac:dyDescent="0.35">
      <c r="A118" s="31"/>
      <c r="B118" s="32"/>
      <c r="E118" s="27"/>
      <c r="F118" s="28"/>
      <c r="G118" s="29"/>
    </row>
    <row r="119" spans="1:7" x14ac:dyDescent="0.35">
      <c r="A119" s="31"/>
      <c r="B119" s="32"/>
      <c r="E119" s="27"/>
      <c r="F119" s="28"/>
      <c r="G119" s="29"/>
    </row>
    <row r="120" spans="1:7" x14ac:dyDescent="0.35">
      <c r="A120" s="31"/>
      <c r="B120" s="32"/>
      <c r="E120" s="27"/>
      <c r="F120" s="28"/>
      <c r="G120" s="29"/>
    </row>
    <row r="121" spans="1:7" x14ac:dyDescent="0.35">
      <c r="A121" s="31"/>
      <c r="B121" s="32"/>
      <c r="E121" s="27"/>
      <c r="F121" s="28"/>
      <c r="G121" s="29"/>
    </row>
    <row r="122" spans="1:7" x14ac:dyDescent="0.35">
      <c r="A122" s="31"/>
      <c r="B122" s="32"/>
      <c r="E122" s="27"/>
      <c r="F122" s="28"/>
      <c r="G122" s="29"/>
    </row>
    <row r="123" spans="1:7" x14ac:dyDescent="0.35">
      <c r="A123" s="31"/>
      <c r="B123" s="32"/>
      <c r="E123" s="27"/>
      <c r="F123" s="28"/>
      <c r="G123" s="29"/>
    </row>
    <row r="124" spans="1:7" x14ac:dyDescent="0.35">
      <c r="A124" s="31"/>
      <c r="B124" s="32"/>
      <c r="E124" s="27"/>
      <c r="F124" s="28"/>
      <c r="G124" s="29"/>
    </row>
    <row r="125" spans="1:7" x14ac:dyDescent="0.35">
      <c r="A125" s="31"/>
      <c r="B125" s="32"/>
      <c r="E125" s="27"/>
      <c r="F125" s="28"/>
      <c r="G125" s="29"/>
    </row>
    <row r="126" spans="1:7" x14ac:dyDescent="0.35">
      <c r="A126" s="31"/>
      <c r="B126" s="32"/>
      <c r="E126" s="27"/>
      <c r="F126" s="28"/>
      <c r="G126" s="29"/>
    </row>
    <row r="127" spans="1:7" x14ac:dyDescent="0.35">
      <c r="A127" s="31"/>
      <c r="B127" s="32"/>
      <c r="E127" s="27"/>
      <c r="F127" s="28"/>
      <c r="G127" s="29"/>
    </row>
    <row r="128" spans="1:7" x14ac:dyDescent="0.35">
      <c r="A128" s="31"/>
      <c r="B128" s="32"/>
      <c r="E128" s="27"/>
      <c r="F128" s="28"/>
      <c r="G128" s="29"/>
    </row>
    <row r="129" spans="1:7" x14ac:dyDescent="0.35">
      <c r="A129" s="31"/>
      <c r="B129" s="32"/>
      <c r="E129" s="27"/>
      <c r="F129" s="28"/>
      <c r="G129" s="29"/>
    </row>
    <row r="130" spans="1:7" x14ac:dyDescent="0.35">
      <c r="A130" s="31"/>
      <c r="B130" s="32"/>
      <c r="E130" s="27"/>
      <c r="F130" s="28"/>
      <c r="G130" s="29"/>
    </row>
    <row r="131" spans="1:7" x14ac:dyDescent="0.35">
      <c r="A131" s="31"/>
      <c r="B131" s="32"/>
      <c r="E131" s="27"/>
      <c r="F131" s="28"/>
      <c r="G131" s="29"/>
    </row>
    <row r="132" spans="1:7" x14ac:dyDescent="0.35">
      <c r="A132" s="31"/>
      <c r="B132" s="32"/>
      <c r="E132" s="27"/>
      <c r="F132" s="28"/>
      <c r="G132" s="29"/>
    </row>
    <row r="133" spans="1:7" x14ac:dyDescent="0.35">
      <c r="A133" s="31"/>
      <c r="B133" s="32"/>
      <c r="E133" s="27"/>
      <c r="F133" s="28"/>
      <c r="G133" s="29"/>
    </row>
    <row r="134" spans="1:7" x14ac:dyDescent="0.35">
      <c r="A134" s="31"/>
      <c r="B134" s="32"/>
      <c r="E134" s="27"/>
      <c r="F134" s="28"/>
      <c r="G134" s="29"/>
    </row>
    <row r="135" spans="1:7" x14ac:dyDescent="0.35">
      <c r="A135" s="31"/>
      <c r="B135" s="32"/>
      <c r="E135" s="27"/>
      <c r="F135" s="28"/>
      <c r="G135" s="29"/>
    </row>
    <row r="136" spans="1:7" x14ac:dyDescent="0.35">
      <c r="A136" s="31"/>
      <c r="B136" s="32"/>
      <c r="E136" s="27"/>
      <c r="F136" s="28"/>
      <c r="G136" s="29"/>
    </row>
    <row r="137" spans="1:7" x14ac:dyDescent="0.35">
      <c r="A137" s="31"/>
      <c r="B137" s="32"/>
      <c r="E137" s="27"/>
      <c r="F137" s="28"/>
      <c r="G137" s="29"/>
    </row>
    <row r="138" spans="1:7" x14ac:dyDescent="0.35">
      <c r="A138" s="31"/>
      <c r="B138" s="32"/>
      <c r="E138" s="27"/>
      <c r="F138" s="28"/>
      <c r="G138" s="29"/>
    </row>
    <row r="139" spans="1:7" x14ac:dyDescent="0.35">
      <c r="A139" s="31"/>
      <c r="B139" s="32"/>
    </row>
    <row r="140" spans="1:7" x14ac:dyDescent="0.35">
      <c r="A140" s="31"/>
      <c r="B140" s="32"/>
    </row>
    <row r="141" spans="1:7" x14ac:dyDescent="0.35">
      <c r="A141" s="31"/>
      <c r="B141" s="32"/>
    </row>
    <row r="142" spans="1:7" x14ac:dyDescent="0.35">
      <c r="A142" s="31"/>
      <c r="B142" s="32"/>
    </row>
    <row r="143" spans="1:7" x14ac:dyDescent="0.35">
      <c r="A143" s="31"/>
      <c r="B143" s="32"/>
    </row>
    <row r="144" spans="1:7" x14ac:dyDescent="0.35">
      <c r="A144" s="31"/>
      <c r="B144" s="32"/>
    </row>
    <row r="145" spans="1:2" x14ac:dyDescent="0.35">
      <c r="A145" s="31"/>
      <c r="B145" s="32"/>
    </row>
    <row r="146" spans="1:2" x14ac:dyDescent="0.35">
      <c r="A146" s="30"/>
    </row>
    <row r="147" spans="1:2" x14ac:dyDescent="0.35">
      <c r="A147" s="30"/>
    </row>
    <row r="148" spans="1:2" x14ac:dyDescent="0.35">
      <c r="A148" s="30"/>
    </row>
    <row r="149" spans="1:2" x14ac:dyDescent="0.35">
      <c r="A149" s="30"/>
    </row>
    <row r="150" spans="1:2" x14ac:dyDescent="0.35">
      <c r="A150" s="30"/>
    </row>
    <row r="151" spans="1:2" x14ac:dyDescent="0.35">
      <c r="A151" s="30"/>
    </row>
    <row r="152" spans="1:2" x14ac:dyDescent="0.35">
      <c r="A152" s="30"/>
    </row>
    <row r="153" spans="1:2" x14ac:dyDescent="0.35">
      <c r="A153" s="30"/>
    </row>
    <row r="154" spans="1:2" x14ac:dyDescent="0.35">
      <c r="A154" s="30"/>
      <c r="B154" s="32"/>
    </row>
    <row r="155" spans="1:2" x14ac:dyDescent="0.35">
      <c r="A155" s="30"/>
      <c r="B155" s="32"/>
    </row>
    <row r="156" spans="1:2" x14ac:dyDescent="0.35">
      <c r="A156" s="30"/>
      <c r="B156" s="32"/>
    </row>
    <row r="157" spans="1:2" x14ac:dyDescent="0.35">
      <c r="A157" s="30"/>
      <c r="B157" s="32"/>
    </row>
    <row r="158" spans="1:2" x14ac:dyDescent="0.35">
      <c r="A158" s="30"/>
      <c r="B158" s="32"/>
    </row>
    <row r="159" spans="1:2" x14ac:dyDescent="0.35">
      <c r="A159" s="30"/>
      <c r="B159" s="32"/>
    </row>
    <row r="160" spans="1:2" x14ac:dyDescent="0.35">
      <c r="A160" s="30"/>
      <c r="B160" s="32"/>
    </row>
    <row r="161" spans="1:1" x14ac:dyDescent="0.35">
      <c r="A161" s="30"/>
    </row>
    <row r="162" spans="1:1" x14ac:dyDescent="0.35">
      <c r="A162" s="30"/>
    </row>
    <row r="163" spans="1:1" x14ac:dyDescent="0.35">
      <c r="A163" s="30"/>
    </row>
    <row r="164" spans="1:1" x14ac:dyDescent="0.35">
      <c r="A164" s="30"/>
    </row>
    <row r="165" spans="1:1" x14ac:dyDescent="0.35">
      <c r="A165" s="30"/>
    </row>
    <row r="166" spans="1:1" x14ac:dyDescent="0.35">
      <c r="A166" s="30"/>
    </row>
    <row r="167" spans="1:1" x14ac:dyDescent="0.35">
      <c r="A167" s="30"/>
    </row>
    <row r="168" spans="1:1" x14ac:dyDescent="0.35">
      <c r="A168" s="30"/>
    </row>
    <row r="169" spans="1:1" x14ac:dyDescent="0.35">
      <c r="A169" s="30"/>
    </row>
    <row r="170" spans="1:1" x14ac:dyDescent="0.35">
      <c r="A170" s="30"/>
    </row>
    <row r="171" spans="1:1" x14ac:dyDescent="0.35">
      <c r="A171" s="30"/>
    </row>
    <row r="172" spans="1:1" x14ac:dyDescent="0.35">
      <c r="A172" s="30"/>
    </row>
    <row r="173" spans="1:1" x14ac:dyDescent="0.35">
      <c r="A173" s="30"/>
    </row>
    <row r="174" spans="1:1" x14ac:dyDescent="0.35">
      <c r="A174" s="30"/>
    </row>
    <row r="175" spans="1:1" x14ac:dyDescent="0.35">
      <c r="A175" s="30"/>
    </row>
    <row r="176" spans="1:1" x14ac:dyDescent="0.35">
      <c r="A176" s="30"/>
    </row>
    <row r="177" spans="1:1" x14ac:dyDescent="0.35">
      <c r="A177" s="30"/>
    </row>
    <row r="178" spans="1:1" x14ac:dyDescent="0.35">
      <c r="A178" s="30"/>
    </row>
    <row r="179" spans="1:1" x14ac:dyDescent="0.35">
      <c r="A179" s="30"/>
    </row>
    <row r="180" spans="1:1" x14ac:dyDescent="0.35">
      <c r="A180" s="30"/>
    </row>
    <row r="181" spans="1:1" x14ac:dyDescent="0.35">
      <c r="A181" s="30"/>
    </row>
    <row r="182" spans="1:1" x14ac:dyDescent="0.35">
      <c r="A182" s="30"/>
    </row>
    <row r="183" spans="1:1" x14ac:dyDescent="0.35">
      <c r="A183" s="30"/>
    </row>
    <row r="184" spans="1:1" x14ac:dyDescent="0.35">
      <c r="A184" s="30"/>
    </row>
    <row r="185" spans="1:1" x14ac:dyDescent="0.35">
      <c r="A185" s="30"/>
    </row>
    <row r="186" spans="1:1" x14ac:dyDescent="0.35">
      <c r="A186" s="30"/>
    </row>
    <row r="187" spans="1:1" x14ac:dyDescent="0.35">
      <c r="A187" s="30"/>
    </row>
    <row r="188" spans="1:1" x14ac:dyDescent="0.35">
      <c r="A188" s="30"/>
    </row>
    <row r="189" spans="1:1" x14ac:dyDescent="0.35">
      <c r="A189" s="30"/>
    </row>
    <row r="190" spans="1:1" x14ac:dyDescent="0.35">
      <c r="A190" s="30"/>
    </row>
    <row r="191" spans="1:1" x14ac:dyDescent="0.35">
      <c r="A191" s="30"/>
    </row>
    <row r="192" spans="1:1" x14ac:dyDescent="0.35">
      <c r="A192" s="30"/>
    </row>
    <row r="193" spans="1:1" x14ac:dyDescent="0.35">
      <c r="A193" s="30"/>
    </row>
    <row r="194" spans="1:1" x14ac:dyDescent="0.35">
      <c r="A194" s="30"/>
    </row>
    <row r="195" spans="1:1" x14ac:dyDescent="0.35">
      <c r="A195" s="30"/>
    </row>
    <row r="196" spans="1:1" x14ac:dyDescent="0.35">
      <c r="A196" s="30"/>
    </row>
    <row r="197" spans="1:1" x14ac:dyDescent="0.35">
      <c r="A197" s="30"/>
    </row>
    <row r="198" spans="1:1" x14ac:dyDescent="0.35">
      <c r="A198" s="30"/>
    </row>
    <row r="199" spans="1:1" x14ac:dyDescent="0.35">
      <c r="A199" s="30"/>
    </row>
    <row r="200" spans="1:1" x14ac:dyDescent="0.35">
      <c r="A200" s="30"/>
    </row>
    <row r="201" spans="1:1" x14ac:dyDescent="0.35">
      <c r="A201" s="30"/>
    </row>
    <row r="202" spans="1:1" x14ac:dyDescent="0.35">
      <c r="A202" s="30"/>
    </row>
    <row r="203" spans="1:1" x14ac:dyDescent="0.35">
      <c r="A203" s="30"/>
    </row>
    <row r="204" spans="1:1" x14ac:dyDescent="0.35">
      <c r="A204" s="30"/>
    </row>
    <row r="205" spans="1:1" x14ac:dyDescent="0.35">
      <c r="A205" s="30"/>
    </row>
    <row r="206" spans="1:1" x14ac:dyDescent="0.35">
      <c r="A206" s="30"/>
    </row>
    <row r="207" spans="1:1" x14ac:dyDescent="0.35">
      <c r="A207" s="30"/>
    </row>
    <row r="208" spans="1:1" x14ac:dyDescent="0.35">
      <c r="A208" s="30"/>
    </row>
    <row r="209" spans="1:1" x14ac:dyDescent="0.35">
      <c r="A209" s="30"/>
    </row>
    <row r="210" spans="1:1" x14ac:dyDescent="0.35">
      <c r="A210" s="30"/>
    </row>
    <row r="211" spans="1:1" x14ac:dyDescent="0.35">
      <c r="A211" s="30"/>
    </row>
  </sheetData>
  <sortState xmlns:xlrd2="http://schemas.microsoft.com/office/spreadsheetml/2017/richdata2" ref="A2:B48">
    <sortCondition ref="A1"/>
  </sortState>
  <dataValidations count="1">
    <dataValidation type="decimal" operator="greaterThan" showErrorMessage="1" errorTitle="Measurement Value" error="Only enter values larger than 0. If measurement value equals 0, substitute with 0.333333333." sqref="B147:B1048576 B124:B145 B82:B109 B11:B55 B1:B8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E444E2-F038-46A6-BD2D-20016DBE8838}">
  <sheetPr codeName="Sheet4"/>
  <dimension ref="A1:AE220"/>
  <sheetViews>
    <sheetView workbookViewId="0">
      <pane ySplit="1" topLeftCell="A2" activePane="bottomLeft" state="frozen"/>
      <selection pane="bottomLeft" activeCell="A2" sqref="A2:XFD10"/>
    </sheetView>
  </sheetViews>
  <sheetFormatPr defaultRowHeight="14.5" x14ac:dyDescent="0.35"/>
  <cols>
    <col min="1" max="1" width="29.90625" style="34" bestFit="1" customWidth="1"/>
    <col min="2" max="2" width="12.36328125" style="33" customWidth="1"/>
    <col min="5" max="5" width="9.90625" bestFit="1" customWidth="1"/>
    <col min="7" max="7" width="15" bestFit="1" customWidth="1"/>
  </cols>
  <sheetData>
    <row r="1" spans="1:7" s="1" customFormat="1" x14ac:dyDescent="0.35">
      <c r="A1" s="35" t="s">
        <v>0</v>
      </c>
      <c r="B1" s="26" t="s">
        <v>2</v>
      </c>
    </row>
    <row r="2" spans="1:7" x14ac:dyDescent="0.35">
      <c r="A2" s="31">
        <v>45202</v>
      </c>
      <c r="B2" s="32">
        <f>150*3</f>
        <v>450</v>
      </c>
      <c r="E2" s="27"/>
      <c r="F2" s="28"/>
      <c r="G2" s="29"/>
    </row>
    <row r="3" spans="1:7" x14ac:dyDescent="0.35">
      <c r="A3" s="31">
        <v>45209</v>
      </c>
      <c r="B3" s="32">
        <v>14</v>
      </c>
      <c r="E3" s="27"/>
      <c r="F3" s="28"/>
      <c r="G3" s="29"/>
    </row>
    <row r="4" spans="1:7" x14ac:dyDescent="0.35">
      <c r="A4" s="31">
        <v>45216</v>
      </c>
      <c r="B4" s="32">
        <f>1/3</f>
        <v>0.33333333333333331</v>
      </c>
      <c r="E4" s="27"/>
      <c r="F4" s="28"/>
      <c r="G4" s="29"/>
    </row>
    <row r="5" spans="1:7" x14ac:dyDescent="0.35">
      <c r="A5" s="31">
        <v>45223</v>
      </c>
      <c r="B5" s="32">
        <v>106</v>
      </c>
      <c r="E5" s="27"/>
      <c r="F5" s="28"/>
      <c r="G5" s="29"/>
    </row>
    <row r="6" spans="1:7" x14ac:dyDescent="0.35">
      <c r="A6" s="31">
        <v>45230</v>
      </c>
      <c r="B6" s="32">
        <v>6</v>
      </c>
      <c r="E6" s="27"/>
      <c r="F6" s="28"/>
      <c r="G6" s="29"/>
    </row>
    <row r="7" spans="1:7" x14ac:dyDescent="0.35">
      <c r="A7" s="31">
        <v>45238</v>
      </c>
      <c r="B7" s="32">
        <f>150*3</f>
        <v>450</v>
      </c>
      <c r="E7" s="27"/>
      <c r="F7" s="28"/>
      <c r="G7" s="29"/>
    </row>
    <row r="8" spans="1:7" x14ac:dyDescent="0.35">
      <c r="A8" s="31">
        <v>45245</v>
      </c>
      <c r="B8" s="32">
        <v>118</v>
      </c>
      <c r="E8" s="27"/>
      <c r="F8" s="28"/>
      <c r="G8" s="29"/>
    </row>
    <row r="9" spans="1:7" x14ac:dyDescent="0.35">
      <c r="A9" s="31">
        <v>45251</v>
      </c>
      <c r="B9" s="32">
        <f>150*3</f>
        <v>450</v>
      </c>
      <c r="E9" s="27"/>
      <c r="F9" s="28"/>
      <c r="G9" s="29"/>
    </row>
    <row r="10" spans="1:7" x14ac:dyDescent="0.35">
      <c r="A10" s="31">
        <v>45259</v>
      </c>
      <c r="B10" s="32">
        <f>1/3</f>
        <v>0.33333333333333331</v>
      </c>
      <c r="E10" s="27"/>
      <c r="F10" s="28"/>
      <c r="G10" s="29"/>
    </row>
    <row r="11" spans="1:7" x14ac:dyDescent="0.35">
      <c r="A11" s="31">
        <v>45265</v>
      </c>
      <c r="B11" s="32">
        <v>101</v>
      </c>
      <c r="E11" s="27"/>
      <c r="F11" s="28"/>
      <c r="G11" s="29"/>
    </row>
    <row r="12" spans="1:7" x14ac:dyDescent="0.35">
      <c r="A12" s="31">
        <v>45301</v>
      </c>
      <c r="B12" s="32">
        <v>5</v>
      </c>
      <c r="E12" s="27"/>
      <c r="F12" s="28"/>
      <c r="G12" s="29"/>
    </row>
    <row r="13" spans="1:7" x14ac:dyDescent="0.35">
      <c r="A13" s="31">
        <v>45308</v>
      </c>
      <c r="B13" s="32">
        <v>7</v>
      </c>
      <c r="E13" s="27"/>
      <c r="F13" s="28"/>
      <c r="G13" s="29"/>
    </row>
    <row r="14" spans="1:7" x14ac:dyDescent="0.35">
      <c r="A14" s="31">
        <v>45314</v>
      </c>
      <c r="B14" s="32">
        <f>1/3</f>
        <v>0.33333333333333331</v>
      </c>
      <c r="E14" s="27"/>
      <c r="F14" s="28"/>
      <c r="G14" s="29"/>
    </row>
    <row r="15" spans="1:7" x14ac:dyDescent="0.35">
      <c r="A15" s="31">
        <v>45321</v>
      </c>
      <c r="B15" s="32">
        <v>22</v>
      </c>
      <c r="E15" s="27"/>
      <c r="F15" s="28"/>
      <c r="G15" s="29"/>
    </row>
    <row r="16" spans="1:7" x14ac:dyDescent="0.35">
      <c r="A16" s="31">
        <v>45328</v>
      </c>
      <c r="B16" s="32">
        <f>1/3</f>
        <v>0.33333333333333331</v>
      </c>
      <c r="E16" s="27"/>
      <c r="F16" s="28"/>
      <c r="G16" s="29"/>
    </row>
    <row r="17" spans="1:7" x14ac:dyDescent="0.35">
      <c r="A17" s="31">
        <v>45335</v>
      </c>
      <c r="B17" s="32">
        <v>29</v>
      </c>
      <c r="E17" s="27"/>
      <c r="F17" s="28"/>
      <c r="G17" s="29"/>
    </row>
    <row r="18" spans="1:7" x14ac:dyDescent="0.35">
      <c r="A18" s="31">
        <v>45342</v>
      </c>
      <c r="B18" s="33">
        <v>14</v>
      </c>
      <c r="E18" s="27"/>
      <c r="F18" s="28"/>
      <c r="G18" s="29"/>
    </row>
    <row r="19" spans="1:7" x14ac:dyDescent="0.35">
      <c r="A19" s="31">
        <v>45349</v>
      </c>
      <c r="B19" s="32">
        <f>1/3</f>
        <v>0.33333333333333331</v>
      </c>
      <c r="E19" s="27"/>
      <c r="F19" s="28"/>
      <c r="G19" s="29"/>
    </row>
    <row r="20" spans="1:7" x14ac:dyDescent="0.35">
      <c r="A20" s="31">
        <v>45356</v>
      </c>
      <c r="B20" s="32">
        <v>12</v>
      </c>
      <c r="E20" s="27"/>
      <c r="F20" s="28"/>
      <c r="G20" s="29"/>
    </row>
    <row r="21" spans="1:7" x14ac:dyDescent="0.35">
      <c r="A21" s="31">
        <v>45363</v>
      </c>
      <c r="B21" s="32">
        <v>855</v>
      </c>
      <c r="E21" s="27"/>
      <c r="F21" s="28"/>
      <c r="G21" s="29"/>
    </row>
    <row r="22" spans="1:7" x14ac:dyDescent="0.35">
      <c r="A22" s="31">
        <v>45371</v>
      </c>
      <c r="B22" s="32">
        <v>25</v>
      </c>
      <c r="E22" s="27"/>
      <c r="F22" s="28"/>
      <c r="G22" s="29"/>
    </row>
    <row r="23" spans="1:7" x14ac:dyDescent="0.35">
      <c r="A23" s="31">
        <v>45377</v>
      </c>
      <c r="B23" s="32">
        <v>23</v>
      </c>
      <c r="E23" s="27"/>
      <c r="F23" s="28"/>
      <c r="G23" s="29"/>
    </row>
    <row r="24" spans="1:7" x14ac:dyDescent="0.35">
      <c r="A24" s="31">
        <v>45384</v>
      </c>
      <c r="B24" s="32">
        <v>5</v>
      </c>
      <c r="E24" s="27"/>
      <c r="F24" s="28"/>
      <c r="G24" s="29"/>
    </row>
    <row r="25" spans="1:7" x14ac:dyDescent="0.35">
      <c r="A25" s="31">
        <v>45391</v>
      </c>
      <c r="B25" s="32">
        <v>325</v>
      </c>
      <c r="E25" s="27"/>
      <c r="F25" s="28"/>
      <c r="G25" s="29"/>
    </row>
    <row r="26" spans="1:7" x14ac:dyDescent="0.35">
      <c r="A26" s="31">
        <v>45399</v>
      </c>
      <c r="B26" s="32">
        <v>5</v>
      </c>
      <c r="E26" s="27"/>
      <c r="F26" s="28"/>
      <c r="G26" s="29"/>
    </row>
    <row r="27" spans="1:7" x14ac:dyDescent="0.35">
      <c r="A27" s="31">
        <v>45405</v>
      </c>
      <c r="B27" s="32">
        <v>37</v>
      </c>
      <c r="E27" s="27"/>
      <c r="F27" s="28"/>
      <c r="G27" s="29"/>
    </row>
    <row r="28" spans="1:7" x14ac:dyDescent="0.35">
      <c r="A28" s="31">
        <v>45412</v>
      </c>
      <c r="B28" s="32">
        <v>2</v>
      </c>
      <c r="E28" s="27"/>
      <c r="F28" s="28"/>
      <c r="G28" s="29"/>
    </row>
    <row r="29" spans="1:7" x14ac:dyDescent="0.35">
      <c r="A29" s="31">
        <v>45419</v>
      </c>
      <c r="B29" s="32">
        <v>99</v>
      </c>
      <c r="E29" s="27"/>
      <c r="F29" s="28"/>
      <c r="G29" s="29"/>
    </row>
    <row r="30" spans="1:7" x14ac:dyDescent="0.35">
      <c r="A30" s="31">
        <v>45426</v>
      </c>
      <c r="B30" s="32">
        <f>1/3</f>
        <v>0.33333333333333331</v>
      </c>
      <c r="E30" s="27"/>
      <c r="F30" s="28"/>
      <c r="G30" s="29"/>
    </row>
    <row r="31" spans="1:7" x14ac:dyDescent="0.35">
      <c r="A31" s="31">
        <v>45433</v>
      </c>
      <c r="B31" s="32">
        <v>130</v>
      </c>
      <c r="E31" s="27"/>
      <c r="F31" s="28"/>
      <c r="G31" s="29"/>
    </row>
    <row r="32" spans="1:7" x14ac:dyDescent="0.35">
      <c r="A32" s="31">
        <v>45440</v>
      </c>
      <c r="B32" s="32">
        <v>20</v>
      </c>
      <c r="E32" s="27"/>
      <c r="F32" s="28"/>
      <c r="G32" s="29"/>
    </row>
    <row r="33" spans="1:7" x14ac:dyDescent="0.35">
      <c r="A33" s="31">
        <v>45447</v>
      </c>
      <c r="B33" s="32">
        <f>1500*3</f>
        <v>4500</v>
      </c>
      <c r="E33" s="27"/>
      <c r="F33" s="28"/>
      <c r="G33" s="29"/>
    </row>
    <row r="34" spans="1:7" x14ac:dyDescent="0.35">
      <c r="A34" s="31">
        <v>45454</v>
      </c>
      <c r="B34" s="32">
        <f>1500*3</f>
        <v>4500</v>
      </c>
      <c r="E34" s="27"/>
      <c r="F34" s="28"/>
      <c r="G34" s="29"/>
    </row>
    <row r="35" spans="1:7" x14ac:dyDescent="0.35">
      <c r="A35" s="31">
        <v>45461</v>
      </c>
      <c r="B35" s="32">
        <v>380</v>
      </c>
      <c r="E35" s="27"/>
      <c r="F35" s="28"/>
      <c r="G35" s="29"/>
    </row>
    <row r="36" spans="1:7" x14ac:dyDescent="0.35">
      <c r="A36" s="31">
        <v>45468</v>
      </c>
      <c r="B36" s="32">
        <v>680</v>
      </c>
      <c r="E36" s="27"/>
      <c r="F36" s="28"/>
      <c r="G36" s="29"/>
    </row>
    <row r="37" spans="1:7" x14ac:dyDescent="0.35">
      <c r="A37" s="31">
        <v>45475</v>
      </c>
      <c r="B37" s="32">
        <v>600</v>
      </c>
      <c r="E37" s="27"/>
      <c r="F37" s="28"/>
      <c r="G37" s="29"/>
    </row>
    <row r="38" spans="1:7" x14ac:dyDescent="0.35">
      <c r="A38" s="31">
        <v>45482</v>
      </c>
      <c r="B38" s="32">
        <f>1500*3</f>
        <v>4500</v>
      </c>
      <c r="E38" s="27"/>
      <c r="F38" s="28"/>
      <c r="G38" s="29"/>
    </row>
    <row r="39" spans="1:7" x14ac:dyDescent="0.35">
      <c r="A39" s="31">
        <v>45489</v>
      </c>
      <c r="B39" s="32">
        <v>0</v>
      </c>
      <c r="E39" s="27"/>
      <c r="F39" s="28"/>
      <c r="G39" s="29"/>
    </row>
    <row r="40" spans="1:7" x14ac:dyDescent="0.35">
      <c r="A40" s="31">
        <v>45496</v>
      </c>
      <c r="B40" s="32">
        <f>150*3</f>
        <v>450</v>
      </c>
      <c r="E40" s="27"/>
      <c r="F40" s="28"/>
      <c r="G40" s="29"/>
    </row>
    <row r="41" spans="1:7" x14ac:dyDescent="0.35">
      <c r="A41" s="31">
        <v>45503</v>
      </c>
      <c r="B41" s="32">
        <f>1500*3</f>
        <v>4500</v>
      </c>
      <c r="E41" s="27"/>
      <c r="F41" s="28"/>
      <c r="G41" s="29"/>
    </row>
    <row r="42" spans="1:7" x14ac:dyDescent="0.35">
      <c r="A42" s="31">
        <v>45510</v>
      </c>
      <c r="B42" s="32">
        <f>1500*3</f>
        <v>4500</v>
      </c>
      <c r="E42" s="27"/>
      <c r="F42" s="28"/>
      <c r="G42" s="29"/>
    </row>
    <row r="43" spans="1:7" x14ac:dyDescent="0.35">
      <c r="A43" s="31">
        <v>45516</v>
      </c>
      <c r="B43" s="32">
        <v>48</v>
      </c>
      <c r="E43" s="27"/>
      <c r="F43" s="28"/>
      <c r="G43" s="29"/>
    </row>
    <row r="44" spans="1:7" x14ac:dyDescent="0.35">
      <c r="A44" s="31">
        <v>45524</v>
      </c>
      <c r="B44" s="32">
        <v>330</v>
      </c>
      <c r="E44" s="27"/>
      <c r="F44" s="28"/>
      <c r="G44" s="29"/>
    </row>
    <row r="45" spans="1:7" x14ac:dyDescent="0.35">
      <c r="A45" s="31">
        <v>45531</v>
      </c>
      <c r="B45" s="32">
        <v>235</v>
      </c>
      <c r="E45" s="27"/>
      <c r="F45" s="28"/>
      <c r="G45" s="29"/>
    </row>
    <row r="46" spans="1:7" x14ac:dyDescent="0.35">
      <c r="A46" s="31">
        <v>45538</v>
      </c>
      <c r="B46" s="32">
        <v>55</v>
      </c>
      <c r="E46" s="27"/>
      <c r="F46" s="28"/>
      <c r="G46" s="29"/>
    </row>
    <row r="47" spans="1:7" x14ac:dyDescent="0.35">
      <c r="A47" s="31">
        <v>45546</v>
      </c>
      <c r="B47" s="32">
        <v>110</v>
      </c>
      <c r="E47" s="27"/>
      <c r="F47" s="28"/>
      <c r="G47" s="29"/>
    </row>
    <row r="48" spans="1:7" x14ac:dyDescent="0.35">
      <c r="A48" s="31">
        <v>45553</v>
      </c>
      <c r="B48" s="32">
        <v>34</v>
      </c>
      <c r="E48" s="27"/>
      <c r="F48" s="28"/>
      <c r="G48" s="29"/>
    </row>
    <row r="49" spans="1:31" x14ac:dyDescent="0.35">
      <c r="A49" s="31">
        <v>45561</v>
      </c>
      <c r="B49" s="32">
        <v>72</v>
      </c>
      <c r="E49" s="27"/>
      <c r="F49" s="28"/>
      <c r="G49" s="29"/>
    </row>
    <row r="50" spans="1:31" x14ac:dyDescent="0.35">
      <c r="A50" s="31">
        <v>45566</v>
      </c>
      <c r="B50" s="32">
        <v>74</v>
      </c>
      <c r="E50" s="27"/>
      <c r="F50" s="28"/>
      <c r="G50" s="29"/>
    </row>
    <row r="51" spans="1:31" x14ac:dyDescent="0.35">
      <c r="A51" s="31">
        <v>45574</v>
      </c>
      <c r="B51" s="32">
        <v>280</v>
      </c>
      <c r="E51" s="27"/>
      <c r="F51" s="28"/>
      <c r="G51" s="29"/>
    </row>
    <row r="52" spans="1:31" x14ac:dyDescent="0.35">
      <c r="A52" s="31">
        <v>45581</v>
      </c>
      <c r="B52" s="32">
        <v>27</v>
      </c>
      <c r="E52" s="27"/>
      <c r="F52" s="28"/>
      <c r="G52" s="29"/>
    </row>
    <row r="53" spans="1:31" x14ac:dyDescent="0.35">
      <c r="A53" s="31">
        <v>45588</v>
      </c>
      <c r="B53" s="32">
        <v>2</v>
      </c>
      <c r="E53" s="27"/>
      <c r="F53" s="28"/>
      <c r="G53" s="29"/>
    </row>
    <row r="54" spans="1:31" x14ac:dyDescent="0.35">
      <c r="A54" s="31">
        <v>45594</v>
      </c>
      <c r="B54" s="32">
        <v>115</v>
      </c>
      <c r="E54" s="27"/>
      <c r="F54" s="28"/>
      <c r="G54" s="29"/>
    </row>
    <row r="55" spans="1:31" x14ac:dyDescent="0.35">
      <c r="A55" s="31">
        <v>45601</v>
      </c>
      <c r="B55" s="32">
        <v>69</v>
      </c>
      <c r="E55" s="27"/>
      <c r="F55" s="28"/>
      <c r="G55" s="29"/>
    </row>
    <row r="56" spans="1:31" x14ac:dyDescent="0.35">
      <c r="A56" s="31">
        <v>45608</v>
      </c>
      <c r="B56" s="32">
        <v>9</v>
      </c>
      <c r="E56" s="27"/>
      <c r="F56" s="28"/>
      <c r="G56" s="29"/>
    </row>
    <row r="57" spans="1:31" x14ac:dyDescent="0.35">
      <c r="A57" s="31">
        <v>45615</v>
      </c>
      <c r="B57" s="32">
        <v>11</v>
      </c>
      <c r="E57" s="27"/>
      <c r="F57" s="28"/>
      <c r="G57" s="29"/>
    </row>
    <row r="58" spans="1:31" x14ac:dyDescent="0.35">
      <c r="A58" s="31"/>
      <c r="B58" s="32"/>
      <c r="E58" s="27"/>
      <c r="F58" s="28"/>
      <c r="G58" s="29"/>
    </row>
    <row r="59" spans="1:31" x14ac:dyDescent="0.35">
      <c r="A59" s="31"/>
      <c r="B59" s="32"/>
      <c r="E59" s="27"/>
      <c r="F59" s="28"/>
      <c r="G59" s="29"/>
    </row>
    <row r="60" spans="1:31" x14ac:dyDescent="0.35">
      <c r="A60" s="31"/>
      <c r="B60" s="32"/>
      <c r="E60" s="27"/>
      <c r="F60" s="28"/>
      <c r="G60" s="29"/>
    </row>
    <row r="61" spans="1:31" x14ac:dyDescent="0.35">
      <c r="A61" s="31"/>
      <c r="B61" s="32"/>
      <c r="E61" s="27"/>
      <c r="F61" s="37"/>
      <c r="G61" s="29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</row>
    <row r="62" spans="1:31" x14ac:dyDescent="0.35">
      <c r="A62" s="31"/>
      <c r="B62" s="32"/>
      <c r="E62" s="27"/>
      <c r="F62" s="28"/>
      <c r="G62" s="29"/>
    </row>
    <row r="63" spans="1:31" x14ac:dyDescent="0.35">
      <c r="A63" s="31"/>
      <c r="B63" s="32"/>
      <c r="E63" s="27"/>
      <c r="F63" s="28"/>
      <c r="G63" s="29"/>
    </row>
    <row r="64" spans="1:31" x14ac:dyDescent="0.35">
      <c r="A64" s="31"/>
      <c r="B64" s="32"/>
      <c r="E64" s="27"/>
      <c r="F64" s="28"/>
      <c r="G64" s="29"/>
    </row>
    <row r="65" spans="5:7" x14ac:dyDescent="0.35">
      <c r="E65" s="27"/>
      <c r="F65" s="28"/>
      <c r="G65" s="29"/>
    </row>
    <row r="66" spans="5:7" x14ac:dyDescent="0.35">
      <c r="E66" s="27"/>
      <c r="F66" s="28"/>
      <c r="G66" s="29"/>
    </row>
    <row r="67" spans="5:7" x14ac:dyDescent="0.35">
      <c r="E67" s="27"/>
      <c r="F67" s="28"/>
      <c r="G67" s="29"/>
    </row>
    <row r="68" spans="5:7" x14ac:dyDescent="0.35">
      <c r="E68" s="27"/>
      <c r="F68" s="28"/>
      <c r="G68" s="29"/>
    </row>
    <row r="69" spans="5:7" x14ac:dyDescent="0.35">
      <c r="E69" s="27"/>
      <c r="F69" s="28"/>
      <c r="G69" s="29"/>
    </row>
    <row r="70" spans="5:7" x14ac:dyDescent="0.35">
      <c r="E70" s="27"/>
      <c r="F70" s="28"/>
      <c r="G70" s="29"/>
    </row>
    <row r="71" spans="5:7" x14ac:dyDescent="0.35">
      <c r="E71" s="27"/>
      <c r="F71" s="28"/>
      <c r="G71" s="29"/>
    </row>
    <row r="72" spans="5:7" x14ac:dyDescent="0.35">
      <c r="E72" s="27"/>
      <c r="F72" s="28"/>
      <c r="G72" s="29"/>
    </row>
    <row r="73" spans="5:7" x14ac:dyDescent="0.35">
      <c r="E73" s="27"/>
      <c r="F73" s="28"/>
      <c r="G73" s="29"/>
    </row>
    <row r="74" spans="5:7" x14ac:dyDescent="0.35">
      <c r="E74" s="27"/>
      <c r="F74" s="28"/>
      <c r="G74" s="29"/>
    </row>
    <row r="75" spans="5:7" x14ac:dyDescent="0.35">
      <c r="E75" s="27"/>
      <c r="F75" s="28"/>
      <c r="G75" s="29"/>
    </row>
    <row r="76" spans="5:7" x14ac:dyDescent="0.35">
      <c r="E76" s="27"/>
      <c r="F76" s="28"/>
      <c r="G76" s="29"/>
    </row>
    <row r="77" spans="5:7" x14ac:dyDescent="0.35">
      <c r="E77" s="27"/>
      <c r="F77" s="28"/>
      <c r="G77" s="29"/>
    </row>
    <row r="78" spans="5:7" x14ac:dyDescent="0.35">
      <c r="E78" s="27"/>
      <c r="F78" s="28"/>
      <c r="G78" s="29"/>
    </row>
    <row r="79" spans="5:7" x14ac:dyDescent="0.35">
      <c r="E79" s="27"/>
      <c r="F79" s="28"/>
      <c r="G79" s="29"/>
    </row>
    <row r="80" spans="5:7" x14ac:dyDescent="0.35">
      <c r="E80" s="27"/>
      <c r="F80" s="28"/>
      <c r="G80" s="29"/>
    </row>
    <row r="81" spans="1:7" x14ac:dyDescent="0.35">
      <c r="E81" s="27"/>
      <c r="F81" s="28"/>
      <c r="G81" s="29"/>
    </row>
    <row r="82" spans="1:7" x14ac:dyDescent="0.35">
      <c r="E82" s="27"/>
      <c r="F82" s="28"/>
      <c r="G82" s="29"/>
    </row>
    <row r="83" spans="1:7" x14ac:dyDescent="0.35">
      <c r="E83" s="27"/>
      <c r="F83" s="28"/>
      <c r="G83" s="29"/>
    </row>
    <row r="84" spans="1:7" x14ac:dyDescent="0.35">
      <c r="E84" s="27"/>
      <c r="F84" s="28"/>
      <c r="G84" s="29"/>
    </row>
    <row r="85" spans="1:7" x14ac:dyDescent="0.35">
      <c r="E85" s="27"/>
      <c r="F85" s="28"/>
      <c r="G85" s="29"/>
    </row>
    <row r="86" spans="1:7" x14ac:dyDescent="0.35">
      <c r="E86" s="27"/>
      <c r="F86" s="28"/>
      <c r="G86" s="29"/>
    </row>
    <row r="87" spans="1:7" x14ac:dyDescent="0.35">
      <c r="E87" s="27"/>
      <c r="F87" s="28"/>
      <c r="G87" s="29"/>
    </row>
    <row r="88" spans="1:7" x14ac:dyDescent="0.35">
      <c r="E88" s="27"/>
      <c r="F88" s="28"/>
      <c r="G88" s="29"/>
    </row>
    <row r="89" spans="1:7" x14ac:dyDescent="0.35">
      <c r="E89" s="27"/>
      <c r="F89" s="28"/>
      <c r="G89" s="29"/>
    </row>
    <row r="90" spans="1:7" x14ac:dyDescent="0.35">
      <c r="E90" s="27"/>
      <c r="F90" s="28"/>
      <c r="G90" s="29"/>
    </row>
    <row r="91" spans="1:7" x14ac:dyDescent="0.35">
      <c r="A91" s="31"/>
      <c r="B91" s="32"/>
      <c r="E91" s="27"/>
      <c r="F91" s="28"/>
      <c r="G91" s="29"/>
    </row>
    <row r="92" spans="1:7" x14ac:dyDescent="0.35">
      <c r="A92" s="31"/>
      <c r="B92" s="32"/>
      <c r="E92" s="27"/>
      <c r="F92" s="28"/>
      <c r="G92" s="29"/>
    </row>
    <row r="93" spans="1:7" x14ac:dyDescent="0.35">
      <c r="A93" s="31"/>
      <c r="B93" s="32"/>
      <c r="E93" s="27"/>
      <c r="F93" s="28"/>
      <c r="G93" s="29"/>
    </row>
    <row r="94" spans="1:7" x14ac:dyDescent="0.35">
      <c r="A94" s="31"/>
      <c r="B94" s="32"/>
      <c r="E94" s="27"/>
      <c r="F94" s="28"/>
      <c r="G94" s="29"/>
    </row>
    <row r="95" spans="1:7" x14ac:dyDescent="0.35">
      <c r="A95" s="31"/>
      <c r="B95" s="32"/>
      <c r="E95" s="27"/>
      <c r="F95" s="28"/>
      <c r="G95" s="29"/>
    </row>
    <row r="96" spans="1:7" x14ac:dyDescent="0.35">
      <c r="A96" s="31"/>
      <c r="B96" s="32"/>
      <c r="E96" s="27"/>
      <c r="F96" s="28"/>
      <c r="G96" s="29"/>
    </row>
    <row r="97" spans="1:7" x14ac:dyDescent="0.35">
      <c r="A97" s="31"/>
      <c r="B97" s="32"/>
      <c r="E97" s="27"/>
      <c r="F97" s="28"/>
      <c r="G97" s="29"/>
    </row>
    <row r="98" spans="1:7" x14ac:dyDescent="0.35">
      <c r="A98" s="31"/>
      <c r="B98" s="32"/>
      <c r="E98" s="27"/>
      <c r="F98" s="28"/>
      <c r="G98" s="29"/>
    </row>
    <row r="99" spans="1:7" x14ac:dyDescent="0.35">
      <c r="A99" s="31"/>
      <c r="B99" s="32"/>
      <c r="E99" s="27"/>
      <c r="F99" s="28"/>
      <c r="G99" s="29"/>
    </row>
    <row r="100" spans="1:7" x14ac:dyDescent="0.35">
      <c r="A100" s="31"/>
      <c r="B100" s="32"/>
      <c r="E100" s="27"/>
      <c r="F100" s="28"/>
      <c r="G100" s="29"/>
    </row>
    <row r="101" spans="1:7" x14ac:dyDescent="0.35">
      <c r="A101" s="31"/>
      <c r="B101" s="32"/>
      <c r="E101" s="27"/>
      <c r="F101" s="28"/>
      <c r="G101" s="29"/>
    </row>
    <row r="102" spans="1:7" x14ac:dyDescent="0.35">
      <c r="A102" s="31"/>
      <c r="B102" s="32"/>
      <c r="E102" s="27"/>
      <c r="F102" s="28"/>
      <c r="G102" s="29"/>
    </row>
    <row r="103" spans="1:7" x14ac:dyDescent="0.35">
      <c r="A103" s="31"/>
      <c r="B103" s="32"/>
      <c r="E103" s="27"/>
      <c r="F103" s="28"/>
      <c r="G103" s="29"/>
    </row>
    <row r="104" spans="1:7" x14ac:dyDescent="0.35">
      <c r="A104" s="31"/>
      <c r="B104" s="32"/>
      <c r="E104" s="27"/>
      <c r="F104" s="28"/>
      <c r="G104" s="29"/>
    </row>
    <row r="105" spans="1:7" x14ac:dyDescent="0.35">
      <c r="A105" s="31"/>
      <c r="B105" s="32"/>
      <c r="E105" s="27"/>
      <c r="F105" s="28"/>
      <c r="G105" s="29"/>
    </row>
    <row r="106" spans="1:7" x14ac:dyDescent="0.35">
      <c r="A106" s="31"/>
      <c r="B106" s="32"/>
      <c r="E106" s="27"/>
      <c r="F106" s="28"/>
      <c r="G106" s="29"/>
    </row>
    <row r="107" spans="1:7" x14ac:dyDescent="0.35">
      <c r="A107" s="31"/>
      <c r="B107" s="32"/>
      <c r="E107" s="27"/>
      <c r="F107" s="28"/>
      <c r="G107" s="29"/>
    </row>
    <row r="108" spans="1:7" x14ac:dyDescent="0.35">
      <c r="A108" s="31"/>
      <c r="B108" s="32"/>
      <c r="E108" s="27"/>
      <c r="F108" s="28"/>
      <c r="G108" s="29"/>
    </row>
    <row r="109" spans="1:7" x14ac:dyDescent="0.35">
      <c r="A109" s="31"/>
      <c r="B109" s="32"/>
      <c r="E109" s="27"/>
      <c r="F109" s="28"/>
      <c r="G109" s="29"/>
    </row>
    <row r="110" spans="1:7" x14ac:dyDescent="0.35">
      <c r="A110" s="31"/>
      <c r="B110" s="32"/>
      <c r="E110" s="27"/>
      <c r="F110" s="28"/>
      <c r="G110" s="29"/>
    </row>
    <row r="111" spans="1:7" x14ac:dyDescent="0.35">
      <c r="A111" s="31"/>
      <c r="B111" s="32"/>
      <c r="E111" s="27"/>
      <c r="F111" s="28"/>
      <c r="G111" s="29"/>
    </row>
    <row r="112" spans="1:7" x14ac:dyDescent="0.35">
      <c r="A112" s="31"/>
      <c r="B112" s="32"/>
      <c r="E112" s="27"/>
      <c r="F112" s="28"/>
      <c r="G112" s="29"/>
    </row>
    <row r="113" spans="1:7" x14ac:dyDescent="0.35">
      <c r="A113" s="31"/>
      <c r="B113" s="32"/>
      <c r="E113" s="27"/>
      <c r="F113" s="28"/>
      <c r="G113" s="29"/>
    </row>
    <row r="114" spans="1:7" x14ac:dyDescent="0.35">
      <c r="A114" s="31"/>
      <c r="B114" s="32"/>
      <c r="E114" s="27"/>
      <c r="F114" s="28"/>
      <c r="G114" s="29"/>
    </row>
    <row r="115" spans="1:7" x14ac:dyDescent="0.35">
      <c r="A115" s="31"/>
      <c r="B115" s="32"/>
      <c r="E115" s="27"/>
      <c r="F115" s="28"/>
      <c r="G115" s="29"/>
    </row>
    <row r="116" spans="1:7" x14ac:dyDescent="0.35">
      <c r="A116" s="31"/>
      <c r="B116" s="32"/>
      <c r="E116" s="27"/>
      <c r="F116" s="28"/>
      <c r="G116" s="29"/>
    </row>
    <row r="117" spans="1:7" x14ac:dyDescent="0.35">
      <c r="A117" s="31"/>
      <c r="B117" s="32"/>
      <c r="E117" s="27"/>
      <c r="F117" s="28"/>
      <c r="G117" s="29"/>
    </row>
    <row r="118" spans="1:7" x14ac:dyDescent="0.35">
      <c r="A118" s="31"/>
      <c r="B118" s="32"/>
      <c r="E118" s="27"/>
      <c r="F118" s="28"/>
      <c r="G118" s="29"/>
    </row>
    <row r="119" spans="1:7" x14ac:dyDescent="0.35">
      <c r="A119" s="31"/>
      <c r="B119" s="32"/>
      <c r="E119" s="27"/>
      <c r="F119" s="28"/>
      <c r="G119" s="29"/>
    </row>
    <row r="120" spans="1:7" x14ac:dyDescent="0.35">
      <c r="A120" s="31"/>
      <c r="B120" s="32"/>
      <c r="E120" s="27"/>
      <c r="F120" s="28"/>
      <c r="G120" s="29"/>
    </row>
    <row r="121" spans="1:7" x14ac:dyDescent="0.35">
      <c r="A121" s="31"/>
      <c r="B121" s="32"/>
      <c r="E121" s="27"/>
      <c r="F121" s="28"/>
      <c r="G121" s="29"/>
    </row>
    <row r="122" spans="1:7" x14ac:dyDescent="0.35">
      <c r="A122" s="31"/>
      <c r="B122" s="32"/>
      <c r="E122" s="27"/>
      <c r="F122" s="28"/>
      <c r="G122" s="29"/>
    </row>
    <row r="123" spans="1:7" x14ac:dyDescent="0.35">
      <c r="A123" s="31"/>
      <c r="B123" s="32"/>
      <c r="E123" s="27"/>
      <c r="F123" s="28"/>
      <c r="G123" s="29"/>
    </row>
    <row r="124" spans="1:7" x14ac:dyDescent="0.35">
      <c r="A124" s="31"/>
      <c r="B124" s="32"/>
      <c r="E124" s="27"/>
      <c r="F124" s="28"/>
      <c r="G124" s="29"/>
    </row>
    <row r="125" spans="1:7" x14ac:dyDescent="0.35">
      <c r="A125" s="31"/>
      <c r="B125" s="32"/>
      <c r="E125" s="27"/>
      <c r="F125" s="28"/>
      <c r="G125" s="29"/>
    </row>
    <row r="126" spans="1:7" x14ac:dyDescent="0.35">
      <c r="A126" s="31"/>
      <c r="B126" s="32"/>
      <c r="E126" s="27"/>
      <c r="F126" s="28"/>
      <c r="G126" s="29"/>
    </row>
    <row r="127" spans="1:7" x14ac:dyDescent="0.35">
      <c r="A127" s="31"/>
      <c r="B127" s="32"/>
      <c r="E127" s="27"/>
      <c r="F127" s="28"/>
      <c r="G127" s="29"/>
    </row>
    <row r="128" spans="1:7" x14ac:dyDescent="0.35">
      <c r="A128" s="31"/>
      <c r="B128" s="32"/>
      <c r="E128" s="27"/>
      <c r="F128" s="28"/>
      <c r="G128" s="29"/>
    </row>
    <row r="129" spans="1:7" x14ac:dyDescent="0.35">
      <c r="A129" s="31"/>
      <c r="B129" s="32"/>
      <c r="E129" s="27"/>
      <c r="F129" s="28"/>
      <c r="G129" s="29"/>
    </row>
    <row r="130" spans="1:7" x14ac:dyDescent="0.35">
      <c r="A130" s="31"/>
      <c r="B130" s="32"/>
      <c r="E130" s="27"/>
      <c r="F130" s="28"/>
      <c r="G130" s="29"/>
    </row>
    <row r="131" spans="1:7" x14ac:dyDescent="0.35">
      <c r="A131" s="31"/>
      <c r="B131" s="32"/>
      <c r="E131" s="27"/>
      <c r="F131" s="28"/>
      <c r="G131" s="29"/>
    </row>
    <row r="132" spans="1:7" x14ac:dyDescent="0.35">
      <c r="A132" s="31"/>
      <c r="B132" s="32"/>
      <c r="E132" s="27"/>
      <c r="F132" s="28"/>
      <c r="G132" s="29"/>
    </row>
    <row r="133" spans="1:7" x14ac:dyDescent="0.35">
      <c r="A133" s="31"/>
      <c r="B133" s="32"/>
      <c r="E133" s="27"/>
      <c r="F133" s="28"/>
      <c r="G133" s="29"/>
    </row>
    <row r="134" spans="1:7" x14ac:dyDescent="0.35">
      <c r="A134" s="31"/>
      <c r="B134" s="32"/>
      <c r="E134" s="27"/>
      <c r="F134" s="28"/>
      <c r="G134" s="29"/>
    </row>
    <row r="135" spans="1:7" x14ac:dyDescent="0.35">
      <c r="A135" s="31"/>
      <c r="B135" s="32"/>
      <c r="E135" s="27"/>
      <c r="F135" s="28"/>
      <c r="G135" s="29"/>
    </row>
    <row r="136" spans="1:7" x14ac:dyDescent="0.35">
      <c r="A136" s="31"/>
      <c r="B136" s="32"/>
      <c r="E136" s="27"/>
      <c r="F136" s="28"/>
      <c r="G136" s="29"/>
    </row>
    <row r="137" spans="1:7" x14ac:dyDescent="0.35">
      <c r="A137" s="31"/>
      <c r="B137" s="32"/>
      <c r="E137" s="27"/>
      <c r="F137" s="28"/>
      <c r="G137" s="29"/>
    </row>
    <row r="138" spans="1:7" x14ac:dyDescent="0.35">
      <c r="A138" s="31"/>
      <c r="B138" s="32"/>
      <c r="E138" s="27"/>
      <c r="F138" s="28"/>
      <c r="G138" s="29"/>
    </row>
    <row r="139" spans="1:7" x14ac:dyDescent="0.35">
      <c r="A139" s="31"/>
      <c r="B139" s="32"/>
      <c r="E139" s="27"/>
      <c r="F139" s="28"/>
      <c r="G139" s="29"/>
    </row>
    <row r="140" spans="1:7" x14ac:dyDescent="0.35">
      <c r="A140" s="31"/>
      <c r="B140" s="32"/>
      <c r="E140" s="27"/>
      <c r="F140" s="28"/>
      <c r="G140" s="29"/>
    </row>
    <row r="141" spans="1:7" x14ac:dyDescent="0.35">
      <c r="A141" s="31"/>
      <c r="B141" s="32"/>
      <c r="E141" s="27"/>
      <c r="F141" s="28"/>
      <c r="G141" s="29"/>
    </row>
    <row r="142" spans="1:7" x14ac:dyDescent="0.35">
      <c r="A142" s="31"/>
      <c r="B142" s="32"/>
      <c r="E142" s="27"/>
      <c r="F142" s="28"/>
      <c r="G142" s="29"/>
    </row>
    <row r="143" spans="1:7" x14ac:dyDescent="0.35">
      <c r="A143" s="31"/>
      <c r="B143" s="32"/>
      <c r="E143" s="27"/>
      <c r="F143" s="28"/>
      <c r="G143" s="29"/>
    </row>
    <row r="144" spans="1:7" x14ac:dyDescent="0.35">
      <c r="A144" s="31"/>
      <c r="B144" s="32"/>
      <c r="E144" s="27"/>
      <c r="F144" s="28"/>
      <c r="G144" s="29"/>
    </row>
    <row r="145" spans="1:7" x14ac:dyDescent="0.35">
      <c r="A145" s="31"/>
      <c r="B145" s="32"/>
      <c r="E145" s="27"/>
      <c r="F145" s="28"/>
      <c r="G145" s="29"/>
    </row>
    <row r="146" spans="1:7" x14ac:dyDescent="0.35">
      <c r="A146" s="31"/>
      <c r="B146" s="32"/>
      <c r="E146" s="27"/>
      <c r="F146" s="28"/>
      <c r="G146" s="29"/>
    </row>
    <row r="147" spans="1:7" x14ac:dyDescent="0.35">
      <c r="A147" s="31"/>
      <c r="B147" s="32"/>
      <c r="E147" s="27"/>
      <c r="F147" s="28"/>
      <c r="G147" s="29"/>
    </row>
    <row r="148" spans="1:7" x14ac:dyDescent="0.35">
      <c r="A148" s="31"/>
      <c r="B148" s="32"/>
    </row>
    <row r="149" spans="1:7" x14ac:dyDescent="0.35">
      <c r="A149" s="31"/>
      <c r="B149" s="32"/>
    </row>
    <row r="150" spans="1:7" x14ac:dyDescent="0.35">
      <c r="A150" s="31"/>
      <c r="B150" s="32"/>
    </row>
    <row r="151" spans="1:7" x14ac:dyDescent="0.35">
      <c r="A151" s="31"/>
      <c r="B151" s="32"/>
    </row>
    <row r="152" spans="1:7" x14ac:dyDescent="0.35">
      <c r="A152" s="31"/>
      <c r="B152" s="32"/>
    </row>
    <row r="153" spans="1:7" x14ac:dyDescent="0.35">
      <c r="A153" s="31"/>
      <c r="B153" s="32"/>
    </row>
    <row r="154" spans="1:7" x14ac:dyDescent="0.35">
      <c r="A154" s="31"/>
      <c r="B154" s="32"/>
    </row>
    <row r="155" spans="1:7" x14ac:dyDescent="0.35">
      <c r="A155" s="30"/>
    </row>
    <row r="156" spans="1:7" x14ac:dyDescent="0.35">
      <c r="A156" s="30"/>
    </row>
    <row r="157" spans="1:7" x14ac:dyDescent="0.35">
      <c r="A157" s="30"/>
    </row>
    <row r="158" spans="1:7" x14ac:dyDescent="0.35">
      <c r="A158" s="30"/>
    </row>
    <row r="159" spans="1:7" x14ac:dyDescent="0.35">
      <c r="A159" s="30"/>
    </row>
    <row r="160" spans="1:7" x14ac:dyDescent="0.35">
      <c r="A160" s="30"/>
    </row>
    <row r="161" spans="1:2" x14ac:dyDescent="0.35">
      <c r="A161" s="30"/>
    </row>
    <row r="162" spans="1:2" x14ac:dyDescent="0.35">
      <c r="A162" s="30"/>
    </row>
    <row r="163" spans="1:2" x14ac:dyDescent="0.35">
      <c r="A163" s="30"/>
      <c r="B163" s="32"/>
    </row>
    <row r="164" spans="1:2" x14ac:dyDescent="0.35">
      <c r="A164" s="30"/>
      <c r="B164" s="32"/>
    </row>
    <row r="165" spans="1:2" x14ac:dyDescent="0.35">
      <c r="A165" s="30"/>
      <c r="B165" s="32"/>
    </row>
    <row r="166" spans="1:2" x14ac:dyDescent="0.35">
      <c r="A166" s="30"/>
      <c r="B166" s="32"/>
    </row>
    <row r="167" spans="1:2" x14ac:dyDescent="0.35">
      <c r="A167" s="30"/>
      <c r="B167" s="32"/>
    </row>
    <row r="168" spans="1:2" x14ac:dyDescent="0.35">
      <c r="A168" s="30"/>
      <c r="B168" s="32"/>
    </row>
    <row r="169" spans="1:2" x14ac:dyDescent="0.35">
      <c r="A169" s="30"/>
      <c r="B169" s="32"/>
    </row>
    <row r="170" spans="1:2" x14ac:dyDescent="0.35">
      <c r="A170" s="30"/>
    </row>
    <row r="171" spans="1:2" x14ac:dyDescent="0.35">
      <c r="A171" s="30"/>
    </row>
    <row r="172" spans="1:2" x14ac:dyDescent="0.35">
      <c r="A172" s="30"/>
    </row>
    <row r="173" spans="1:2" x14ac:dyDescent="0.35">
      <c r="A173" s="30"/>
    </row>
    <row r="174" spans="1:2" x14ac:dyDescent="0.35">
      <c r="A174" s="30"/>
    </row>
    <row r="175" spans="1:2" x14ac:dyDescent="0.35">
      <c r="A175" s="30"/>
    </row>
    <row r="176" spans="1:2" x14ac:dyDescent="0.35">
      <c r="A176" s="30"/>
    </row>
    <row r="177" spans="1:1" x14ac:dyDescent="0.35">
      <c r="A177" s="30"/>
    </row>
    <row r="178" spans="1:1" x14ac:dyDescent="0.35">
      <c r="A178" s="30"/>
    </row>
    <row r="179" spans="1:1" x14ac:dyDescent="0.35">
      <c r="A179" s="30"/>
    </row>
    <row r="180" spans="1:1" x14ac:dyDescent="0.35">
      <c r="A180" s="30"/>
    </row>
    <row r="181" spans="1:1" x14ac:dyDescent="0.35">
      <c r="A181" s="30"/>
    </row>
    <row r="182" spans="1:1" x14ac:dyDescent="0.35">
      <c r="A182" s="30"/>
    </row>
    <row r="183" spans="1:1" x14ac:dyDescent="0.35">
      <c r="A183" s="30"/>
    </row>
    <row r="184" spans="1:1" x14ac:dyDescent="0.35">
      <c r="A184" s="30"/>
    </row>
    <row r="185" spans="1:1" x14ac:dyDescent="0.35">
      <c r="A185" s="30"/>
    </row>
    <row r="186" spans="1:1" x14ac:dyDescent="0.35">
      <c r="A186" s="30"/>
    </row>
    <row r="187" spans="1:1" x14ac:dyDescent="0.35">
      <c r="A187" s="30"/>
    </row>
    <row r="188" spans="1:1" x14ac:dyDescent="0.35">
      <c r="A188" s="30"/>
    </row>
    <row r="189" spans="1:1" x14ac:dyDescent="0.35">
      <c r="A189" s="30"/>
    </row>
    <row r="190" spans="1:1" x14ac:dyDescent="0.35">
      <c r="A190" s="30"/>
    </row>
    <row r="191" spans="1:1" x14ac:dyDescent="0.35">
      <c r="A191" s="30"/>
    </row>
    <row r="192" spans="1:1" x14ac:dyDescent="0.35">
      <c r="A192" s="30"/>
    </row>
    <row r="193" spans="1:1" x14ac:dyDescent="0.35">
      <c r="A193" s="30"/>
    </row>
    <row r="194" spans="1:1" x14ac:dyDescent="0.35">
      <c r="A194" s="30"/>
    </row>
    <row r="195" spans="1:1" x14ac:dyDescent="0.35">
      <c r="A195" s="30"/>
    </row>
    <row r="196" spans="1:1" x14ac:dyDescent="0.35">
      <c r="A196" s="30"/>
    </row>
    <row r="197" spans="1:1" x14ac:dyDescent="0.35">
      <c r="A197" s="30"/>
    </row>
    <row r="198" spans="1:1" x14ac:dyDescent="0.35">
      <c r="A198" s="30"/>
    </row>
    <row r="199" spans="1:1" x14ac:dyDescent="0.35">
      <c r="A199" s="30"/>
    </row>
    <row r="200" spans="1:1" x14ac:dyDescent="0.35">
      <c r="A200" s="30"/>
    </row>
    <row r="201" spans="1:1" x14ac:dyDescent="0.35">
      <c r="A201" s="30"/>
    </row>
    <row r="202" spans="1:1" x14ac:dyDescent="0.35">
      <c r="A202" s="30"/>
    </row>
    <row r="203" spans="1:1" x14ac:dyDescent="0.35">
      <c r="A203" s="30"/>
    </row>
    <row r="204" spans="1:1" x14ac:dyDescent="0.35">
      <c r="A204" s="30"/>
    </row>
    <row r="205" spans="1:1" x14ac:dyDescent="0.35">
      <c r="A205" s="30"/>
    </row>
    <row r="206" spans="1:1" x14ac:dyDescent="0.35">
      <c r="A206" s="30"/>
    </row>
    <row r="207" spans="1:1" x14ac:dyDescent="0.35">
      <c r="A207" s="30"/>
    </row>
    <row r="208" spans="1:1" x14ac:dyDescent="0.35">
      <c r="A208" s="30"/>
    </row>
    <row r="209" spans="1:1" x14ac:dyDescent="0.35">
      <c r="A209" s="30"/>
    </row>
    <row r="210" spans="1:1" x14ac:dyDescent="0.35">
      <c r="A210" s="30"/>
    </row>
    <row r="211" spans="1:1" x14ac:dyDescent="0.35">
      <c r="A211" s="30"/>
    </row>
    <row r="212" spans="1:1" x14ac:dyDescent="0.35">
      <c r="A212" s="30"/>
    </row>
    <row r="213" spans="1:1" x14ac:dyDescent="0.35">
      <c r="A213" s="30"/>
    </row>
    <row r="214" spans="1:1" x14ac:dyDescent="0.35">
      <c r="A214" s="30"/>
    </row>
    <row r="215" spans="1:1" x14ac:dyDescent="0.35">
      <c r="A215" s="30"/>
    </row>
    <row r="216" spans="1:1" x14ac:dyDescent="0.35">
      <c r="A216" s="30"/>
    </row>
    <row r="217" spans="1:1" x14ac:dyDescent="0.35">
      <c r="A217" s="30"/>
    </row>
    <row r="218" spans="1:1" x14ac:dyDescent="0.35">
      <c r="A218" s="30"/>
    </row>
    <row r="219" spans="1:1" x14ac:dyDescent="0.35">
      <c r="A219" s="30"/>
    </row>
    <row r="220" spans="1:1" x14ac:dyDescent="0.35">
      <c r="A220" s="30"/>
    </row>
  </sheetData>
  <dataValidations count="1">
    <dataValidation type="decimal" operator="greaterThan" showErrorMessage="1" errorTitle="Measurement Value" error="Only enter values larger than 0. If measurement value equals 0, substitute with 0.333333333." sqref="B156:B1048576 B133:B154 B1:B17 B91:B118 B20:B64" xr:uid="{428BDCB2-1B52-4E01-8F4B-C572F51D44D7}">
      <formula1>0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4cf795c-2367-4fd5-ad97-2ce55b22a6a2">
      <Terms xmlns="http://schemas.microsoft.com/office/infopath/2007/PartnerControls"/>
    </lcf76f155ced4ddcb4097134ff3c332f>
    <_Flow_SignoffStatus xmlns="34cf795c-2367-4fd5-ad97-2ce55b22a6a2" xsi:nil="true"/>
    <TaxCatchAll xmlns="a6e05537-0fbd-41cd-bda1-7142d082d70c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6B6E73BE1E40468A7DDCC534874A78" ma:contentTypeVersion="16" ma:contentTypeDescription="Create a new document." ma:contentTypeScope="" ma:versionID="c80a216e26b2d3c40def2e4741c3a274">
  <xsd:schema xmlns:xsd="http://www.w3.org/2001/XMLSchema" xmlns:xs="http://www.w3.org/2001/XMLSchema" xmlns:p="http://schemas.microsoft.com/office/2006/metadata/properties" xmlns:ns2="34cf795c-2367-4fd5-ad97-2ce55b22a6a2" xmlns:ns3="a6e05537-0fbd-41cd-bda1-7142d082d70c" targetNamespace="http://schemas.microsoft.com/office/2006/metadata/properties" ma:root="true" ma:fieldsID="f2ea94a4e92f844117aaf1a5c0736fa3" ns2:_="" ns3:_="">
    <xsd:import namespace="34cf795c-2367-4fd5-ad97-2ce55b22a6a2"/>
    <xsd:import namespace="a6e05537-0fbd-41cd-bda1-7142d082d70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4cf795c-2367-4fd5-ad97-2ce55b22a6a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Image Tags" ma:readOnly="false" ma:fieldId="{5cf76f15-5ced-4ddc-b409-7134ff3c332f}" ma:taxonomyMulti="true" ma:sspId="f0b9dad4-8877-4382-917e-fe83f3164c8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7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1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2" nillable="true" ma:displayName="Sign-off status" ma:internalName="Sign_x002d_off_x0020_status">
      <xsd:simpleType>
        <xsd:restriction base="dms:Text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6e05537-0fbd-41cd-bda1-7142d082d70c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534bc271-3c2d-4580-b351-6a3053dc8c37}" ma:internalName="TaxCatchAll" ma:showField="CatchAllData" ma:web="a6e05537-0fbd-41cd-bda1-7142d082d70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FB7DB39-9527-4B5C-94DD-CBF2B1B4671C}">
  <ds:schemaRefs>
    <ds:schemaRef ds:uri="http://schemas.microsoft.com/office/2006/documentManagement/types"/>
    <ds:schemaRef ds:uri="http://schemas.microsoft.com/office/infopath/2007/PartnerControls"/>
    <ds:schemaRef ds:uri="d602efd0-98a8-4264-882b-5af550c3ef7a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  <ds:schemaRef ds:uri="34cf795c-2367-4fd5-ad97-2ce55b22a6a2"/>
    <ds:schemaRef ds:uri="a6e05537-0fbd-41cd-bda1-7142d082d70c"/>
  </ds:schemaRefs>
</ds:datastoreItem>
</file>

<file path=customXml/itemProps2.xml><?xml version="1.0" encoding="utf-8"?>
<ds:datastoreItem xmlns:ds="http://schemas.openxmlformats.org/officeDocument/2006/customXml" ds:itemID="{B5EEF52A-07E2-4A44-8092-74DADAD6C3D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E3A29D9-1CFD-48CA-AA85-BDA179C7BE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4cf795c-2367-4fd5-ad97-2ce55b22a6a2"/>
    <ds:schemaRef ds:uri="a6e05537-0fbd-41cd-bda1-7142d082d70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Information</vt:lpstr>
      <vt:lpstr>Escherichia coli</vt:lpstr>
      <vt:lpstr>Faecal streptococci</vt:lpstr>
      <vt:lpstr>Faecal streptococci (2)</vt:lpstr>
    </vt:vector>
  </TitlesOfParts>
  <Company>CSIR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GWESSELS</dc:creator>
  <cp:lastModifiedBy>Francois van Schalkwyk</cp:lastModifiedBy>
  <dcterms:created xsi:type="dcterms:W3CDTF">2020-07-02T09:36:36Z</dcterms:created>
  <dcterms:modified xsi:type="dcterms:W3CDTF">2024-11-29T13:13:19Z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0x010100786B6E73BE1E40468A7DDCC534874A78</vt:lpwstr>
  </property>
  <property fmtid="{D5CDD505-2E9C-101B-9397-08002B2CF9AE}" pid="3" name="MediaServiceImageTags">
    <vt:lpwstr/>
  </property>
</Properties>
</file>