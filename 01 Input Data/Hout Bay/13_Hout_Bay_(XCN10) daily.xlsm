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piller\Documents\Coct\CMB\Coastal WQ\"/>
    </mc:Choice>
  </mc:AlternateContent>
  <bookViews>
    <workbookView xWindow="0" yWindow="0" windowWidth="28800" windowHeight="124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coli'!$A$1:$B$43</definedName>
    <definedName name="_xlnm._FilterDatabase" localSheetId="2" hidden="1">'Faecal streptococci'!$A$1:$B$1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<sst xmlns="http://schemas.openxmlformats.org/spreadsheetml/2006/main" count="59" uniqueCount="27">
  <si>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</si>
  <si>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</si>
  <si>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</si>
  <si>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</si>
  <si>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</si>
  <si>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</si>
  <si>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</si>
  <si>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</si>
  <si>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</si>
  <si>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</si>
  <si>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</si>
  <si>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</si>
  <si>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</si>
  <si>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</si>
  <si>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</si>
  <si>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</si>
  <si>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</si>
  <si>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Hout Bay</t>
  </si>
  <si>
    <t>Llandudno and Hout Bay</t>
  </si>
  <si>
    <t>1/-</t>
  </si>
  <si>
    <t>Excellent</t>
  </si>
  <si>
    <t>4500/4135</t>
  </si>
  <si>
    <t>Poor</t>
  </si>
  <si>
    <t>4500/855</t>
  </si>
  <si>
    <t>4500/3771</t>
  </si>
  <si>
    <t>280/198</t>
  </si>
  <si>
    <t>Not Enough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</si>
</sst>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5" formatCode="[$-F800]dddd\,\ mmmm\ dd\,\ yyyy"/>
    <numFmt numFmtId="166" formatCode="0.000"/>
    <numFmt numFmtId="167" formatCode="[$-F800]dddd\,/mmmm/dd\,/yyyy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0" borderId="0" xfId="0" applyBorder="1"/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67" fontId="2" fillId="0" borderId="0" xfId="0" applyNumberFormat="1" applyFont="1" applyAlignment="1">
      <alignment horizontal="center"/>
    </xf>
    <xf numFmtId="15" fontId="0" fillId="0" borderId="0" xfId="0" applyNumberFormat="1"/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65" fontId="2" fillId="0" borderId="0" xfId="0" applyNumberFormat="1" applyFont="1" applyAlignment="1">
      <alignment horizontal="center"/>
    </xf>
  </cellXfs>
  <cellStyles count="2">
    <cellStyle name="Input" xfId="1" builtinId="20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D31" sqref="D31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6" t="s">
        <v>17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7" t="s">
        <v>18</v>
      </c>
      <c r="E6" s="57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4">
        <f ca="1">TODAY()</f>
        <v>45624</v>
      </c>
      <c r="E11" s="54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4">
        <f>MAX(MAX('Escherichia coli'!A:A),MAX('Faecal streptococci'!A:A))</f>
        <v>45621</v>
      </c>
      <c r="E12" s="54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5">
        <f ca="1">YEAR(D11)+(MONTH(D11)&gt;=D9)</f>
        <v>2024</v>
      </c>
      <c r="E13" s="55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4" t="str">
        <f ca="1">CONCATENATE(TEXT(DATE(D13-1,D9,1), "yyyy/mm/dd")," - ",TEXT(D11,"yyyy/mm/dd"))</f>
        <v>2023/12/01 - 2024/11/28</v>
      </c>
      <c r="E14" s="54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4" t="str">
        <f ca="1">CONCATENATE(TEXT(DATE(D13-5,D9,1), "yyyy/mm/dd")," - ",TEXT(D11,"yyyy/mm/dd"))</f>
        <v>2019/12/01 - 2024/11/28</v>
      </c>
      <c r="E15" s="54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2024 to date</v>
      </c>
      <c r="D18" s="29" t="s">
        <v>20</v>
      </c>
      <c r="E18" s="26" t="s">
        <v>19</v>
      </c>
      <c r="F18" s="22" t="s">
        <v>22</v>
      </c>
      <c r="G18" s="26" t="s">
        <v>21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2019 - 2024</v>
      </c>
      <c r="D19" s="22" t="s">
        <v>20</v>
      </c>
      <c r="E19" s="39" t="s">
        <v>19</v>
      </c>
      <c r="F19" s="22" t="s">
        <v>22</v>
      </c>
      <c r="G19" s="39" t="s">
        <v>23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20</v>
      </c>
      <c r="E20" s="39" t="s">
        <v>19</v>
      </c>
      <c r="F20" s="22" t="s">
        <v>22</v>
      </c>
      <c r="G20" s="39" t="s">
        <v>24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20</v>
      </c>
      <c r="E21" s="39" t="s">
        <v>19</v>
      </c>
      <c r="F21" s="22" t="s">
        <v>22</v>
      </c>
      <c r="G21" s="39" t="s">
        <v>25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20">
        <v>2024</v>
      </c>
      <c r="D22" s="7" t="s">
        <v>20</v>
      </c>
      <c r="E22" s="39" t="s">
        <v>19</v>
      </c>
      <c r="F22" s="22" t="s">
        <v>22</v>
      </c>
      <c r="G22" s="39" t="s">
        <v>21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20">
        <v>2023</v>
      </c>
      <c r="D23" s="7" t="s">
        <v>26</v>
      </c>
      <c r="E23" s="39"/>
      <c r="F23" s="22" t="s">
        <v>26</v>
      </c>
      <c r="G23" s="39"/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2021</v>
      </c>
      <c r="D24" s="7" t="s">
        <v>26</v>
      </c>
      <c r="E24" s="39"/>
      <c r="F24" s="22" t="s">
        <v>26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2020</v>
      </c>
      <c r="D25" s="7" t="s">
        <v>26</v>
      </c>
      <c r="E25" s="39"/>
      <c r="F25" s="22" t="s">
        <v>26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2019</v>
      </c>
      <c r="D26" s="3" t="s">
        <v>26</v>
      </c>
      <c r="E26" s="26"/>
      <c r="F26" s="23" t="s">
        <v>26</v>
      </c>
      <c r="G26" s="26"/>
      <c r="H26" s="19"/>
      <c r="I26" s="27"/>
      <c r="J26" s="4"/>
    </row>
    <row r="27" spans="1:13" s="3" customFormat="1" x14ac:dyDescent="0.3">
      <c r="A27" s="7"/>
      <c r="B27" s="7"/>
      <c r="C27" s="17">
        <v>2018</v>
      </c>
      <c r="D27" s="22" t="s">
        <v>26</v>
      </c>
      <c r="E27" s="7"/>
      <c r="F27" s="24" t="s">
        <v>26</v>
      </c>
      <c r="G27" s="19"/>
      <c r="H27" s="19"/>
      <c r="I27" s="27"/>
      <c r="J27" s="4"/>
    </row>
    <row r="28" spans="1:13" s="3" customFormat="1" x14ac:dyDescent="0.3">
      <c r="A28" s="7"/>
      <c r="B28" s="7"/>
      <c r="C28" s="15">
        <v>2017</v>
      </c>
      <c r="D28" s="22" t="s">
        <v>26</v>
      </c>
      <c r="E28" s="7"/>
      <c r="F28" s="24" t="s">
        <v>26</v>
      </c>
      <c r="G28" s="19"/>
      <c r="H28" s="19"/>
      <c r="I28" s="27"/>
      <c r="J28" s="4"/>
    </row>
    <row r="29" spans="1:13" s="3" customFormat="1" x14ac:dyDescent="0.3">
      <c r="A29" s="7"/>
      <c r="B29" s="7"/>
      <c r="C29" s="15">
        <v>2016</v>
      </c>
      <c r="D29" s="22" t="s">
        <v>26</v>
      </c>
      <c r="E29" s="7"/>
      <c r="F29" s="24" t="s">
        <v>26</v>
      </c>
      <c r="G29" s="19"/>
      <c r="H29" s="19"/>
      <c r="I29" s="27"/>
      <c r="J29" s="4"/>
    </row>
    <row r="30" spans="1:13" s="3" customFormat="1" x14ac:dyDescent="0.3">
      <c r="A30" s="7"/>
      <c r="B30" s="7"/>
      <c r="C30" s="15">
        <v>2015</v>
      </c>
      <c r="D30" s="22" t="s">
        <v>26</v>
      </c>
      <c r="E30" s="7"/>
      <c r="F30" s="24" t="s">
        <v>26</v>
      </c>
      <c r="G30" s="19"/>
      <c r="H30" s="19"/>
      <c r="I30" s="27"/>
      <c r="J30" s="4"/>
    </row>
    <row r="31" spans="1:13" s="3" customFormat="1" x14ac:dyDescent="0.3">
      <c r="A31" s="7"/>
      <c r="B31" s="7"/>
      <c r="C31" s="15">
        <v>2014</v>
      </c>
      <c r="D31" s="22" t="s">
        <v>26</v>
      </c>
      <c r="E31" s="7"/>
      <c r="F31" s="24" t="s">
        <v>26</v>
      </c>
      <c r="G31" s="19"/>
      <c r="H31" s="19"/>
      <c r="I31" s="27"/>
      <c r="J31" s="4"/>
    </row>
    <row r="32" spans="1:13" s="3" customFormat="1" x14ac:dyDescent="0.3">
      <c r="A32" s="7"/>
      <c r="B32" s="7"/>
      <c r="C32" s="15"/>
      <c r="D32" s="22"/>
      <c r="E32" s="7"/>
      <c r="F32" s="24"/>
      <c r="G32" s="19"/>
      <c r="H32" s="19"/>
      <c r="I32" s="27"/>
      <c r="J32" s="4"/>
    </row>
    <row r="33" spans="1:10" s="3" customFormat="1" x14ac:dyDescent="0.3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1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6" priority="1" operator="equal">
      <formula>"Not Enough Data"</formula>
    </cfRule>
    <cfRule type="cellIs" dxfId="5" priority="2" operator="equal">
      <formula>"Excellent"</formula>
    </cfRule>
    <cfRule type="cellIs" dxfId="4" priority="3" operator="equal">
      <formula>"Good"</formula>
    </cfRule>
    <cfRule type="cellIs" dxfId="3" priority="4" operator="equal">
      <formula>"Sufficient"</formula>
    </cfRule>
    <cfRule type="cellIs" dxfId="2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0"/>
  <sheetViews>
    <sheetView workbookViewId="0">
      <pane ySplit="1" topLeftCell="A2" activePane="bottomLeft" state="frozen"/>
      <selection pane="bottomLeft" activeCell="A25" sqref="A25"/>
    </sheetView>
  </sheetViews>
  <sheetFormatPr defaultRowHeight="14.4" x14ac:dyDescent="0.3"/>
  <cols>
    <col min="1" max="1" width="29" style="46" bestFit="1" customWidth="1"/>
    <col min="2" max="2" width="12" style="51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2" t="s">
        <v>0</v>
      </c>
      <c r="B1" s="41" t="s">
        <v>1</v>
      </c>
    </row>
    <row r="2" spans="1:7" x14ac:dyDescent="0.3">
      <c r="A2" s="47">
        <v>45210</v>
      </c>
      <c r="B2" s="48">
        <v>1</v>
      </c>
      <c r="E2" s="42"/>
      <c r="F2" s="43"/>
      <c r="G2" s="44"/>
    </row>
    <row r="3" spans="1:7" x14ac:dyDescent="0.3">
      <c r="A3" s="47">
        <v>45216</v>
      </c>
      <c r="B3" s="48">
        <v>1</v>
      </c>
      <c r="E3" s="42"/>
      <c r="F3" s="43"/>
      <c r="G3" s="44"/>
    </row>
    <row r="4" spans="1:7" x14ac:dyDescent="0.3">
      <c r="A4" s="47">
        <v>45224</v>
      </c>
      <c r="B4" s="48">
        <v>1</v>
      </c>
      <c r="E4" s="42"/>
      <c r="F4" s="43"/>
      <c r="G4" s="44"/>
    </row>
    <row r="5" spans="1:7" x14ac:dyDescent="0.3">
      <c r="A5" s="47">
        <v>45230</v>
      </c>
      <c r="B5" s="48">
        <v>1</v>
      </c>
      <c r="E5" s="42"/>
      <c r="F5" s="43"/>
      <c r="G5" s="44"/>
    </row>
    <row r="6" spans="1:7" x14ac:dyDescent="0.3">
      <c r="A6" s="47">
        <v>45238</v>
      </c>
      <c r="B6" s="48">
        <v>1</v>
      </c>
      <c r="E6" s="42"/>
      <c r="F6" s="43"/>
      <c r="G6" s="44"/>
    </row>
    <row r="7" spans="1:7" x14ac:dyDescent="0.3">
      <c r="A7" s="47">
        <v>45244</v>
      </c>
      <c r="B7" s="48">
        <v>1</v>
      </c>
      <c r="E7" s="42"/>
      <c r="F7" s="43"/>
      <c r="G7" s="44"/>
    </row>
    <row r="8" spans="1:7" x14ac:dyDescent="0.3">
      <c r="A8" s="47">
        <v>45252</v>
      </c>
      <c r="B8" s="48">
        <v>1</v>
      </c>
      <c r="E8" s="42"/>
      <c r="F8" s="43"/>
      <c r="G8" s="44"/>
    </row>
    <row r="9" spans="1:7" x14ac:dyDescent="0.3">
      <c r="A9" s="47">
        <v>45258</v>
      </c>
      <c r="B9" s="48">
        <v>1</v>
      </c>
      <c r="E9" s="42"/>
      <c r="F9" s="43"/>
      <c r="G9" s="44"/>
    </row>
    <row r="10" spans="1:7" x14ac:dyDescent="0.3">
      <c r="A10" s="47">
        <v>45266</v>
      </c>
      <c r="B10" s="48">
        <v>1</v>
      </c>
      <c r="E10" s="42"/>
      <c r="F10" s="43"/>
      <c r="G10" s="44"/>
    </row>
    <row r="11" spans="1:7" x14ac:dyDescent="0.3">
      <c r="A11" s="47">
        <v>45266</v>
      </c>
      <c r="B11" s="48">
        <v>1</v>
      </c>
      <c r="E11" s="42"/>
      <c r="F11" s="43"/>
      <c r="G11" s="44"/>
    </row>
    <row r="12" spans="1:7" x14ac:dyDescent="0.3">
      <c r="A12" s="47">
        <v>45266</v>
      </c>
      <c r="B12" s="48">
        <v>1</v>
      </c>
      <c r="E12" s="42"/>
      <c r="F12" s="43"/>
      <c r="G12" s="44"/>
    </row>
    <row r="13" spans="1:7" x14ac:dyDescent="0.3">
      <c r="A13" s="47">
        <v>45307</v>
      </c>
      <c r="B13" s="48">
        <v>1</v>
      </c>
      <c r="E13" s="42"/>
      <c r="F13" s="43"/>
      <c r="G13" s="44"/>
    </row>
    <row r="14" spans="1:7" x14ac:dyDescent="0.3">
      <c r="A14" s="47">
        <v>45314</v>
      </c>
      <c r="B14" s="48">
        <v>1</v>
      </c>
      <c r="E14" s="42"/>
      <c r="F14" s="43"/>
      <c r="G14" s="44"/>
    </row>
    <row r="15" spans="1:7" x14ac:dyDescent="0.3">
      <c r="A15" s="47">
        <v>45321</v>
      </c>
      <c r="B15" s="48">
        <v>1</v>
      </c>
      <c r="E15" s="42"/>
      <c r="F15" s="43"/>
      <c r="G15" s="44"/>
    </row>
    <row r="16" spans="1:7" x14ac:dyDescent="0.3">
      <c r="A16" s="47">
        <v>45329</v>
      </c>
      <c r="B16" s="48">
        <v>1</v>
      </c>
      <c r="E16" s="42"/>
      <c r="F16" s="43"/>
      <c r="G16" s="44"/>
    </row>
    <row r="17" spans="1:7" x14ac:dyDescent="0.3">
      <c r="A17" s="47">
        <v>45335</v>
      </c>
      <c r="B17" s="48">
        <v>1</v>
      </c>
      <c r="E17" s="42"/>
      <c r="F17" s="43"/>
      <c r="G17" s="44"/>
    </row>
    <row r="18" spans="1:7" x14ac:dyDescent="0.3">
      <c r="A18" s="47">
        <v>45343</v>
      </c>
      <c r="B18" s="48">
        <v>1</v>
      </c>
      <c r="E18" s="42"/>
      <c r="F18" s="43"/>
      <c r="G18" s="44"/>
    </row>
    <row r="19" spans="1:7" x14ac:dyDescent="0.3">
      <c r="A19" s="47">
        <v>45349</v>
      </c>
      <c r="B19" s="48">
        <v>1</v>
      </c>
      <c r="E19" s="42"/>
      <c r="F19" s="43"/>
      <c r="G19" s="44"/>
    </row>
    <row r="20" spans="1:7" x14ac:dyDescent="0.3">
      <c r="A20" s="47">
        <v>45357</v>
      </c>
      <c r="B20" s="48">
        <v>1</v>
      </c>
      <c r="E20" s="42"/>
      <c r="F20" s="43"/>
      <c r="G20" s="44"/>
    </row>
    <row r="21" spans="1:7" x14ac:dyDescent="0.3">
      <c r="A21" s="47">
        <v>45364</v>
      </c>
      <c r="B21" s="48">
        <v>1</v>
      </c>
      <c r="E21" s="42"/>
      <c r="F21" s="43"/>
      <c r="G21" s="44"/>
    </row>
    <row r="22" spans="1:7" x14ac:dyDescent="0.3">
      <c r="A22" s="47">
        <v>45370</v>
      </c>
      <c r="B22" s="48">
        <v>1</v>
      </c>
      <c r="E22" s="42"/>
      <c r="F22" s="43"/>
      <c r="G22" s="44"/>
    </row>
    <row r="23" spans="1:7" x14ac:dyDescent="0.3">
      <c r="A23" s="47">
        <v>45378</v>
      </c>
      <c r="B23" s="48">
        <v>1</v>
      </c>
      <c r="E23" s="42"/>
      <c r="F23" s="43"/>
      <c r="G23" s="44"/>
    </row>
    <row r="24" spans="1:7" x14ac:dyDescent="0.3">
      <c r="A24" s="47">
        <v>45384</v>
      </c>
      <c r="B24" s="48">
        <v>1</v>
      </c>
      <c r="E24" s="42"/>
      <c r="F24" s="43"/>
      <c r="G24" s="44"/>
    </row>
    <row r="25" spans="1:7" x14ac:dyDescent="0.3">
      <c r="A25" s="47">
        <v>45391</v>
      </c>
      <c r="B25" s="48">
        <v>1</v>
      </c>
      <c r="E25" s="42"/>
      <c r="F25" s="43"/>
      <c r="G25" s="44"/>
    </row>
    <row r="26" spans="1:7" x14ac:dyDescent="0.3">
      <c r="A26" s="47">
        <v>45400</v>
      </c>
      <c r="B26" s="48">
        <v>1</v>
      </c>
      <c r="E26" s="42"/>
      <c r="F26" s="43"/>
      <c r="G26" s="44"/>
    </row>
    <row r="27" spans="1:7" x14ac:dyDescent="0.3">
      <c r="A27" s="47">
        <v>45405</v>
      </c>
      <c r="B27" s="48">
        <v>1</v>
      </c>
      <c r="E27" s="42"/>
      <c r="F27" s="43"/>
      <c r="G27" s="44"/>
    </row>
    <row r="28" spans="1:7" x14ac:dyDescent="0.3">
      <c r="A28" s="47">
        <v>45419</v>
      </c>
      <c r="B28" s="48">
        <v>1</v>
      </c>
      <c r="E28" s="42"/>
      <c r="F28" s="43"/>
      <c r="G28" s="44"/>
    </row>
    <row r="29" spans="1:7" x14ac:dyDescent="0.3">
      <c r="A29" s="47">
        <v>45426</v>
      </c>
      <c r="B29" s="48">
        <v>1</v>
      </c>
      <c r="E29" s="42"/>
      <c r="F29" s="43"/>
      <c r="G29" s="44"/>
    </row>
    <row r="30" spans="1:7" x14ac:dyDescent="0.3">
      <c r="A30" s="47">
        <v>45433</v>
      </c>
      <c r="B30" s="48">
        <v>1</v>
      </c>
      <c r="E30" s="42"/>
      <c r="F30" s="43"/>
      <c r="G30" s="44"/>
    </row>
    <row r="31" spans="1:7" x14ac:dyDescent="0.3">
      <c r="A31" s="47">
        <v>45442</v>
      </c>
      <c r="B31" s="48">
        <v>1</v>
      </c>
      <c r="E31" s="42"/>
      <c r="F31" s="43"/>
      <c r="G31" s="44"/>
    </row>
    <row r="32" spans="1:7" x14ac:dyDescent="0.3">
      <c r="A32" s="47">
        <v>45448</v>
      </c>
      <c r="B32" s="48">
        <v>1</v>
      </c>
      <c r="E32" s="42"/>
      <c r="F32" s="43"/>
      <c r="G32" s="44"/>
    </row>
    <row r="33" spans="1:7" x14ac:dyDescent="0.3">
      <c r="A33" s="47">
        <v>45454</v>
      </c>
      <c r="B33" s="48">
        <v>1</v>
      </c>
      <c r="E33" s="42"/>
      <c r="F33" s="43"/>
      <c r="G33" s="44"/>
    </row>
    <row r="34" spans="1:7" x14ac:dyDescent="0.3">
      <c r="A34" s="47">
        <v>45462</v>
      </c>
      <c r="B34" s="48">
        <v>1</v>
      </c>
      <c r="E34" s="42"/>
      <c r="F34" s="43"/>
      <c r="G34" s="44"/>
    </row>
    <row r="35" spans="1:7" x14ac:dyDescent="0.3">
      <c r="A35" s="47">
        <v>45468</v>
      </c>
      <c r="B35" s="48">
        <v>1</v>
      </c>
      <c r="E35" s="42"/>
      <c r="F35" s="43"/>
      <c r="G35" s="44"/>
    </row>
    <row r="36" spans="1:7" x14ac:dyDescent="0.3">
      <c r="A36" s="47">
        <v>45476</v>
      </c>
      <c r="B36" s="48">
        <v>1</v>
      </c>
      <c r="E36" s="42"/>
      <c r="F36" s="43"/>
      <c r="G36" s="44"/>
    </row>
    <row r="37" spans="1:7" x14ac:dyDescent="0.3">
      <c r="A37" s="47">
        <v>45482</v>
      </c>
      <c r="B37" s="48">
        <v>1</v>
      </c>
      <c r="E37" s="42"/>
      <c r="F37" s="43"/>
      <c r="G37" s="44"/>
    </row>
    <row r="38" spans="1:7" x14ac:dyDescent="0.3">
      <c r="A38" s="47">
        <v>45490</v>
      </c>
      <c r="B38" s="48">
        <v>1</v>
      </c>
      <c r="E38" s="42"/>
      <c r="F38" s="43"/>
      <c r="G38" s="44"/>
    </row>
    <row r="39" spans="1:7" x14ac:dyDescent="0.3">
      <c r="A39" s="47">
        <v>45496</v>
      </c>
      <c r="B39" s="48">
        <v>1</v>
      </c>
      <c r="E39" s="42"/>
      <c r="F39" s="43"/>
      <c r="G39" s="44"/>
    </row>
    <row r="40" spans="1:7" x14ac:dyDescent="0.3">
      <c r="A40" s="47">
        <v>45504</v>
      </c>
      <c r="B40" s="48">
        <v>1</v>
      </c>
      <c r="E40" s="42"/>
      <c r="F40" s="43"/>
      <c r="G40" s="44"/>
    </row>
    <row r="41" spans="1:7" x14ac:dyDescent="0.3">
      <c r="A41" s="47">
        <v>45510</v>
      </c>
      <c r="B41" s="48">
        <v>1</v>
      </c>
      <c r="E41" s="42"/>
      <c r="F41" s="43"/>
      <c r="G41" s="44"/>
    </row>
    <row r="42" spans="1:7" x14ac:dyDescent="0.3">
      <c r="A42" s="47">
        <v>45518</v>
      </c>
      <c r="B42" s="48">
        <v>1</v>
      </c>
      <c r="E42" s="42"/>
      <c r="F42" s="43"/>
      <c r="G42" s="44"/>
    </row>
    <row r="43" spans="1:7" x14ac:dyDescent="0.3">
      <c r="A43" s="47">
        <v>45621</v>
      </c>
      <c r="B43" s="48">
        <v>1</v>
      </c>
      <c r="E43" s="42"/>
      <c r="F43" s="43"/>
      <c r="G43" s="44"/>
    </row>
    <row r="44" spans="1:7" x14ac:dyDescent="0.3">
      <c r="A44" s="47"/>
      <c r="B44" s="48"/>
      <c r="E44" s="42"/>
      <c r="F44" s="43"/>
      <c r="G44" s="44"/>
    </row>
    <row r="45" spans="1:7" x14ac:dyDescent="0.3">
      <c r="A45" s="47"/>
      <c r="B45" s="48"/>
      <c r="E45" s="42"/>
      <c r="F45" s="43"/>
      <c r="G45" s="44"/>
    </row>
    <row r="46" spans="1:7" x14ac:dyDescent="0.3">
      <c r="A46" s="47"/>
      <c r="B46" s="48"/>
      <c r="E46" s="42"/>
      <c r="F46" s="43"/>
      <c r="G46" s="44"/>
    </row>
    <row r="47" spans="1:7" x14ac:dyDescent="0.3">
      <c r="A47" s="47"/>
      <c r="B47" s="48"/>
      <c r="E47" s="42"/>
      <c r="F47" s="43"/>
      <c r="G47" s="44"/>
    </row>
    <row r="48" spans="1:7" x14ac:dyDescent="0.3">
      <c r="A48" s="47"/>
      <c r="B48" s="48"/>
      <c r="E48" s="42"/>
      <c r="F48" s="43"/>
      <c r="G48" s="44"/>
    </row>
    <row r="49" spans="1:7" x14ac:dyDescent="0.3">
      <c r="A49" s="47"/>
      <c r="B49" s="48"/>
      <c r="E49" s="42"/>
      <c r="F49" s="43"/>
      <c r="G49" s="44"/>
    </row>
    <row r="50" spans="1:7" x14ac:dyDescent="0.3">
      <c r="A50" s="47"/>
      <c r="B50" s="48"/>
      <c r="E50" s="42"/>
      <c r="F50" s="43"/>
      <c r="G50" s="44"/>
    </row>
    <row r="51" spans="1:7" x14ac:dyDescent="0.3">
      <c r="A51" s="47"/>
      <c r="B51" s="48"/>
      <c r="E51" s="42"/>
      <c r="F51" s="43"/>
      <c r="G51" s="44"/>
    </row>
    <row r="52" spans="1:7" x14ac:dyDescent="0.3">
      <c r="A52" s="47"/>
      <c r="B52" s="48"/>
      <c r="E52" s="42"/>
      <c r="F52" s="43"/>
      <c r="G52" s="44"/>
    </row>
    <row r="53" spans="1:7" x14ac:dyDescent="0.3">
      <c r="A53" s="47"/>
      <c r="B53" s="48"/>
      <c r="E53" s="42"/>
      <c r="F53" s="43"/>
      <c r="G53" s="44"/>
    </row>
    <row r="54" spans="1:7" x14ac:dyDescent="0.3">
      <c r="A54" s="47"/>
      <c r="B54" s="48"/>
      <c r="E54" s="42"/>
      <c r="F54" s="43"/>
      <c r="G54" s="44"/>
    </row>
    <row r="55" spans="1:7" x14ac:dyDescent="0.3">
      <c r="A55" s="47"/>
      <c r="B55" s="48"/>
      <c r="E55" s="42"/>
      <c r="F55" s="43"/>
      <c r="G55" s="44"/>
    </row>
    <row r="56" spans="1:7" x14ac:dyDescent="0.3">
      <c r="A56" s="47"/>
      <c r="B56" s="48"/>
      <c r="E56" s="42"/>
      <c r="F56" s="43"/>
      <c r="G56" s="44"/>
    </row>
    <row r="57" spans="1:7" x14ac:dyDescent="0.3">
      <c r="A57" s="47"/>
      <c r="B57" s="48"/>
      <c r="E57" s="42"/>
      <c r="F57" s="43"/>
      <c r="G57" s="44"/>
    </row>
    <row r="58" spans="1:7" x14ac:dyDescent="0.3">
      <c r="A58" s="47"/>
      <c r="B58" s="48"/>
      <c r="E58" s="42"/>
      <c r="F58" s="43"/>
      <c r="G58" s="44"/>
    </row>
    <row r="59" spans="1:7" x14ac:dyDescent="0.3">
      <c r="A59" s="47"/>
      <c r="B59" s="48"/>
      <c r="E59" s="42"/>
      <c r="F59" s="43"/>
      <c r="G59" s="44"/>
    </row>
    <row r="60" spans="1:7" x14ac:dyDescent="0.3">
      <c r="A60" s="47"/>
      <c r="B60" s="48"/>
      <c r="E60" s="42"/>
      <c r="F60" s="43"/>
      <c r="G60" s="44"/>
    </row>
    <row r="61" spans="1:7" x14ac:dyDescent="0.3">
      <c r="A61" s="47"/>
      <c r="B61" s="48"/>
      <c r="E61" s="42"/>
      <c r="F61" s="43"/>
      <c r="G61" s="44"/>
    </row>
    <row r="62" spans="1:7" x14ac:dyDescent="0.3">
      <c r="A62" s="47"/>
      <c r="B62" s="48"/>
      <c r="E62" s="42"/>
      <c r="F62" s="43"/>
      <c r="G62" s="44"/>
    </row>
    <row r="63" spans="1:7" x14ac:dyDescent="0.3">
      <c r="A63" s="47"/>
      <c r="B63" s="48"/>
      <c r="E63" s="42"/>
      <c r="F63" s="43"/>
      <c r="G63" s="44"/>
    </row>
    <row r="64" spans="1:7" x14ac:dyDescent="0.3">
      <c r="A64" s="47"/>
      <c r="B64" s="48"/>
      <c r="E64" s="42"/>
      <c r="F64" s="43"/>
      <c r="G64" s="44"/>
    </row>
    <row r="65" spans="1:7" x14ac:dyDescent="0.3">
      <c r="A65" s="47"/>
      <c r="B65" s="48"/>
      <c r="E65" s="42"/>
      <c r="F65" s="43"/>
      <c r="G65" s="44"/>
    </row>
    <row r="66" spans="1:7" x14ac:dyDescent="0.3">
      <c r="A66" s="47"/>
      <c r="B66" s="48"/>
      <c r="E66" s="42"/>
      <c r="F66" s="43"/>
      <c r="G66" s="44"/>
    </row>
    <row r="67" spans="1:7" x14ac:dyDescent="0.3">
      <c r="A67" s="47"/>
      <c r="B67" s="48"/>
      <c r="E67" s="42"/>
      <c r="F67" s="43"/>
      <c r="G67" s="44"/>
    </row>
    <row r="68" spans="1:7" x14ac:dyDescent="0.3">
      <c r="A68" s="47"/>
      <c r="B68" s="48"/>
      <c r="E68" s="42"/>
      <c r="F68" s="43"/>
      <c r="G68" s="44"/>
    </row>
    <row r="69" spans="1:7" x14ac:dyDescent="0.3">
      <c r="A69" s="47"/>
      <c r="B69" s="48"/>
      <c r="E69" s="42"/>
      <c r="F69" s="43"/>
      <c r="G69" s="44"/>
    </row>
    <row r="70" spans="1:7" x14ac:dyDescent="0.3">
      <c r="A70" s="47"/>
      <c r="B70" s="48"/>
      <c r="E70" s="42"/>
      <c r="F70" s="43"/>
      <c r="G70" s="44"/>
    </row>
    <row r="71" spans="1:7" x14ac:dyDescent="0.3">
      <c r="A71" s="47"/>
      <c r="B71" s="48"/>
      <c r="E71" s="42"/>
      <c r="F71" s="43"/>
      <c r="G71" s="44"/>
    </row>
    <row r="72" spans="1:7" x14ac:dyDescent="0.3">
      <c r="A72" s="47"/>
      <c r="B72" s="48"/>
      <c r="E72" s="42"/>
      <c r="F72" s="43"/>
      <c r="G72" s="44"/>
    </row>
    <row r="73" spans="1:7" x14ac:dyDescent="0.3">
      <c r="A73" s="47"/>
      <c r="B73" s="48"/>
      <c r="E73" s="42"/>
      <c r="F73" s="43"/>
      <c r="G73" s="44"/>
    </row>
    <row r="74" spans="1:7" x14ac:dyDescent="0.3">
      <c r="A74" s="47"/>
      <c r="B74" s="48"/>
      <c r="E74" s="42"/>
      <c r="F74" s="43"/>
      <c r="G74" s="44"/>
    </row>
    <row r="75" spans="1:7" x14ac:dyDescent="0.3">
      <c r="A75" s="47"/>
      <c r="B75" s="48"/>
      <c r="E75" s="42"/>
      <c r="F75" s="43"/>
      <c r="G75" s="44"/>
    </row>
    <row r="76" spans="1:7" x14ac:dyDescent="0.3">
      <c r="A76" s="47"/>
      <c r="B76" s="48"/>
      <c r="E76" s="42"/>
      <c r="F76" s="43"/>
      <c r="G76" s="44"/>
    </row>
    <row r="77" spans="1:7" x14ac:dyDescent="0.3">
      <c r="A77" s="47"/>
      <c r="B77" s="48"/>
      <c r="E77" s="42"/>
      <c r="F77" s="43"/>
      <c r="G77" s="44"/>
    </row>
    <row r="78" spans="1:7" x14ac:dyDescent="0.3">
      <c r="A78" s="47"/>
      <c r="B78" s="48"/>
      <c r="E78" s="42"/>
      <c r="F78" s="43"/>
      <c r="G78" s="44"/>
    </row>
    <row r="79" spans="1:7" x14ac:dyDescent="0.3">
      <c r="A79" s="47"/>
      <c r="B79" s="48"/>
      <c r="E79" s="42"/>
      <c r="F79" s="43"/>
      <c r="G79" s="44"/>
    </row>
    <row r="80" spans="1:7" x14ac:dyDescent="0.3">
      <c r="A80" s="47"/>
      <c r="B80" s="48"/>
      <c r="E80" s="42"/>
      <c r="F80" s="43"/>
      <c r="G80" s="44"/>
    </row>
    <row r="81" spans="1:7" x14ac:dyDescent="0.3">
      <c r="A81" s="47"/>
      <c r="B81" s="48"/>
      <c r="E81" s="42"/>
      <c r="F81" s="43"/>
      <c r="G81" s="44"/>
    </row>
    <row r="82" spans="1:7" x14ac:dyDescent="0.3">
      <c r="A82" s="47"/>
      <c r="B82" s="48"/>
      <c r="E82" s="42"/>
      <c r="F82" s="43"/>
      <c r="G82" s="44"/>
    </row>
    <row r="83" spans="1:7" x14ac:dyDescent="0.3">
      <c r="A83" s="47"/>
      <c r="B83" s="48"/>
      <c r="E83" s="42"/>
      <c r="F83" s="43"/>
      <c r="G83" s="44"/>
    </row>
    <row r="84" spans="1:7" x14ac:dyDescent="0.3">
      <c r="A84" s="47"/>
      <c r="B84" s="48"/>
      <c r="E84" s="42"/>
      <c r="F84" s="43"/>
      <c r="G84" s="44"/>
    </row>
    <row r="85" spans="1:7" x14ac:dyDescent="0.3">
      <c r="A85" s="47"/>
      <c r="B85" s="48"/>
      <c r="E85" s="42"/>
      <c r="F85" s="43"/>
      <c r="G85" s="44"/>
    </row>
    <row r="86" spans="1:7" x14ac:dyDescent="0.3">
      <c r="A86" s="47"/>
      <c r="B86" s="48"/>
      <c r="E86" s="42"/>
      <c r="F86" s="43"/>
      <c r="G86" s="44"/>
    </row>
    <row r="87" spans="1:7" x14ac:dyDescent="0.3">
      <c r="A87" s="47"/>
      <c r="B87" s="48"/>
      <c r="E87" s="42"/>
      <c r="F87" s="43"/>
      <c r="G87" s="44"/>
    </row>
    <row r="88" spans="1:7" x14ac:dyDescent="0.3">
      <c r="A88" s="47"/>
      <c r="B88" s="48"/>
      <c r="E88" s="42"/>
      <c r="F88" s="43"/>
      <c r="G88" s="44"/>
    </row>
    <row r="89" spans="1:7" x14ac:dyDescent="0.3">
      <c r="A89" s="47"/>
      <c r="B89" s="48"/>
      <c r="E89" s="42"/>
      <c r="F89" s="43"/>
      <c r="G89" s="44"/>
    </row>
    <row r="90" spans="1:7" x14ac:dyDescent="0.3">
      <c r="A90" s="47"/>
      <c r="B90" s="48"/>
      <c r="E90" s="42"/>
      <c r="F90" s="43"/>
      <c r="G90" s="44"/>
    </row>
    <row r="91" spans="1:7" x14ac:dyDescent="0.3">
      <c r="A91" s="47"/>
      <c r="B91" s="48"/>
      <c r="E91" s="42"/>
      <c r="F91" s="43"/>
      <c r="G91" s="44"/>
    </row>
    <row r="92" spans="1:7" x14ac:dyDescent="0.3">
      <c r="A92" s="47"/>
      <c r="B92" s="48"/>
      <c r="E92" s="42"/>
      <c r="F92" s="43"/>
      <c r="G92" s="44"/>
    </row>
    <row r="93" spans="1:7" x14ac:dyDescent="0.3">
      <c r="A93" s="47"/>
      <c r="B93" s="48"/>
      <c r="E93" s="42"/>
      <c r="F93" s="43"/>
      <c r="G93" s="44"/>
    </row>
    <row r="94" spans="1:7" x14ac:dyDescent="0.3">
      <c r="A94" s="47"/>
      <c r="B94" s="48"/>
      <c r="E94" s="42"/>
      <c r="F94" s="43"/>
      <c r="G94" s="44"/>
    </row>
    <row r="95" spans="1:7" x14ac:dyDescent="0.3">
      <c r="A95" s="47"/>
      <c r="B95" s="48"/>
      <c r="E95" s="42"/>
      <c r="F95" s="43"/>
      <c r="G95" s="44"/>
    </row>
    <row r="96" spans="1:7" x14ac:dyDescent="0.3">
      <c r="A96" s="47"/>
      <c r="B96" s="48"/>
      <c r="E96" s="42"/>
      <c r="F96" s="43"/>
      <c r="G96" s="44"/>
    </row>
    <row r="97" spans="1:7" x14ac:dyDescent="0.3">
      <c r="A97" s="47"/>
      <c r="B97" s="48"/>
      <c r="E97" s="42"/>
      <c r="F97" s="43"/>
      <c r="G97" s="44"/>
    </row>
    <row r="98" spans="1:7" x14ac:dyDescent="0.3">
      <c r="A98" s="47"/>
      <c r="B98" s="48"/>
      <c r="E98" s="42"/>
      <c r="F98" s="43"/>
      <c r="G98" s="44"/>
    </row>
    <row r="99" spans="1:7" x14ac:dyDescent="0.3">
      <c r="A99" s="47"/>
      <c r="B99" s="48"/>
      <c r="E99" s="42"/>
      <c r="F99" s="43"/>
      <c r="G99" s="44"/>
    </row>
    <row r="100" spans="1:7" x14ac:dyDescent="0.3">
      <c r="A100" s="47"/>
      <c r="B100" s="48"/>
      <c r="E100" s="42"/>
      <c r="F100" s="43"/>
      <c r="G100" s="44"/>
    </row>
    <row r="101" spans="1:7" x14ac:dyDescent="0.3">
      <c r="A101" s="47"/>
      <c r="B101" s="48"/>
      <c r="E101" s="42"/>
      <c r="F101" s="43"/>
      <c r="G101" s="44"/>
    </row>
    <row r="102" spans="1:7" x14ac:dyDescent="0.3">
      <c r="A102" s="47"/>
      <c r="B102" s="48"/>
      <c r="E102" s="42"/>
      <c r="F102" s="43"/>
      <c r="G102" s="44"/>
    </row>
    <row r="103" spans="1:7" x14ac:dyDescent="0.3">
      <c r="A103" s="47"/>
      <c r="B103" s="48"/>
      <c r="E103" s="42"/>
      <c r="F103" s="43"/>
      <c r="G103" s="44"/>
    </row>
    <row r="104" spans="1:7" x14ac:dyDescent="0.3">
      <c r="A104" s="47"/>
      <c r="B104" s="48"/>
      <c r="E104" s="42"/>
      <c r="F104" s="43"/>
      <c r="G104" s="44"/>
    </row>
    <row r="105" spans="1:7" x14ac:dyDescent="0.3">
      <c r="A105" s="47"/>
      <c r="B105" s="48"/>
      <c r="E105" s="42"/>
      <c r="F105" s="43"/>
      <c r="G105" s="44"/>
    </row>
    <row r="106" spans="1:7" x14ac:dyDescent="0.3">
      <c r="A106" s="47"/>
      <c r="B106" s="48"/>
      <c r="E106" s="42"/>
      <c r="F106" s="43"/>
      <c r="G106" s="44"/>
    </row>
    <row r="107" spans="1:7" x14ac:dyDescent="0.3">
      <c r="A107" s="47"/>
      <c r="B107" s="48"/>
      <c r="E107" s="42"/>
      <c r="F107" s="43"/>
      <c r="G107" s="44"/>
    </row>
    <row r="108" spans="1:7" x14ac:dyDescent="0.3">
      <c r="A108" s="47"/>
      <c r="B108" s="48"/>
      <c r="E108" s="42"/>
      <c r="F108" s="43"/>
      <c r="G108" s="44"/>
    </row>
    <row r="109" spans="1:7" x14ac:dyDescent="0.3">
      <c r="A109" s="47"/>
      <c r="B109" s="48"/>
      <c r="E109" s="42"/>
      <c r="F109" s="43"/>
      <c r="G109" s="44"/>
    </row>
    <row r="110" spans="1:7" x14ac:dyDescent="0.3">
      <c r="A110" s="47"/>
      <c r="B110" s="48"/>
      <c r="E110" s="42"/>
      <c r="F110" s="43"/>
      <c r="G110" s="44"/>
    </row>
    <row r="111" spans="1:7" x14ac:dyDescent="0.3">
      <c r="A111" s="47"/>
      <c r="B111" s="48"/>
      <c r="E111" s="42"/>
      <c r="F111" s="43"/>
      <c r="G111" s="44"/>
    </row>
    <row r="112" spans="1:7" x14ac:dyDescent="0.3">
      <c r="A112" s="47"/>
      <c r="B112" s="48"/>
      <c r="E112" s="42"/>
      <c r="F112" s="43"/>
      <c r="G112" s="44"/>
    </row>
    <row r="113" spans="1:7" x14ac:dyDescent="0.3">
      <c r="A113" s="47"/>
      <c r="B113" s="48"/>
      <c r="E113" s="42"/>
      <c r="F113" s="43"/>
      <c r="G113" s="44"/>
    </row>
    <row r="114" spans="1:7" x14ac:dyDescent="0.3">
      <c r="A114" s="47"/>
      <c r="B114" s="48"/>
      <c r="E114" s="42"/>
      <c r="F114" s="43"/>
      <c r="G114" s="44"/>
    </row>
    <row r="115" spans="1:7" x14ac:dyDescent="0.3">
      <c r="A115" s="47"/>
      <c r="B115" s="48"/>
      <c r="E115" s="42"/>
      <c r="F115" s="43"/>
      <c r="G115" s="44"/>
    </row>
    <row r="116" spans="1:7" x14ac:dyDescent="0.3">
      <c r="A116" s="47"/>
      <c r="B116" s="48"/>
      <c r="E116" s="42"/>
      <c r="F116" s="43"/>
      <c r="G116" s="44"/>
    </row>
    <row r="117" spans="1:7" x14ac:dyDescent="0.3">
      <c r="A117" s="47"/>
      <c r="B117" s="48"/>
      <c r="E117" s="42"/>
      <c r="F117" s="43"/>
      <c r="G117" s="44"/>
    </row>
    <row r="118" spans="1:7" x14ac:dyDescent="0.3">
      <c r="A118" s="47"/>
      <c r="B118" s="48"/>
      <c r="E118" s="42"/>
      <c r="F118" s="43"/>
      <c r="G118" s="44"/>
    </row>
    <row r="119" spans="1:7" x14ac:dyDescent="0.3">
      <c r="A119" s="47"/>
      <c r="B119" s="48"/>
      <c r="E119" s="42"/>
      <c r="F119" s="43"/>
      <c r="G119" s="44"/>
    </row>
    <row r="120" spans="1:7" x14ac:dyDescent="0.3">
      <c r="A120" s="47"/>
      <c r="B120" s="48"/>
      <c r="E120" s="42"/>
      <c r="F120" s="43"/>
      <c r="G120" s="44"/>
    </row>
    <row r="121" spans="1:7" x14ac:dyDescent="0.3">
      <c r="A121" s="47"/>
      <c r="B121" s="48"/>
      <c r="E121" s="42"/>
      <c r="F121" s="43"/>
      <c r="G121" s="44"/>
    </row>
    <row r="122" spans="1:7" x14ac:dyDescent="0.3">
      <c r="A122" s="47"/>
      <c r="B122" s="48"/>
      <c r="E122" s="42"/>
      <c r="F122" s="43"/>
      <c r="G122" s="44"/>
    </row>
    <row r="123" spans="1:7" x14ac:dyDescent="0.3">
      <c r="A123" s="47"/>
      <c r="B123" s="48"/>
      <c r="E123" s="42"/>
      <c r="F123" s="43"/>
      <c r="G123" s="44"/>
    </row>
    <row r="124" spans="1:7" x14ac:dyDescent="0.3">
      <c r="A124" s="47"/>
      <c r="B124" s="48"/>
      <c r="E124" s="42"/>
      <c r="F124" s="43"/>
      <c r="G124" s="44"/>
    </row>
    <row r="125" spans="1:7" x14ac:dyDescent="0.3">
      <c r="A125" s="47"/>
      <c r="B125" s="48"/>
      <c r="E125" s="42"/>
      <c r="F125" s="43"/>
      <c r="G125" s="44"/>
    </row>
    <row r="126" spans="1:7" x14ac:dyDescent="0.3">
      <c r="A126" s="47"/>
      <c r="B126" s="48"/>
      <c r="E126" s="42"/>
      <c r="F126" s="43"/>
      <c r="G126" s="44"/>
    </row>
    <row r="127" spans="1:7" x14ac:dyDescent="0.3">
      <c r="A127" s="47"/>
      <c r="B127" s="48"/>
      <c r="E127" s="42"/>
      <c r="F127" s="43"/>
      <c r="G127" s="44"/>
    </row>
    <row r="128" spans="1:7" x14ac:dyDescent="0.3">
      <c r="A128" s="47"/>
      <c r="B128" s="48"/>
      <c r="E128" s="42"/>
      <c r="F128" s="43"/>
      <c r="G128" s="44"/>
    </row>
    <row r="129" spans="1:7" x14ac:dyDescent="0.3">
      <c r="A129" s="47"/>
      <c r="B129" s="48"/>
      <c r="E129" s="42"/>
      <c r="F129" s="43"/>
      <c r="G129" s="44"/>
    </row>
    <row r="130" spans="1:7" x14ac:dyDescent="0.3">
      <c r="A130" s="47"/>
      <c r="B130" s="48"/>
      <c r="E130" s="42"/>
      <c r="F130" s="43"/>
      <c r="G130" s="44"/>
    </row>
    <row r="131" spans="1:7" x14ac:dyDescent="0.3">
      <c r="A131" s="47"/>
      <c r="B131" s="48"/>
      <c r="E131" s="42"/>
      <c r="F131" s="43"/>
      <c r="G131" s="44"/>
    </row>
    <row r="132" spans="1:7" x14ac:dyDescent="0.3">
      <c r="A132" s="47"/>
      <c r="B132" s="48"/>
      <c r="E132" s="42"/>
      <c r="F132" s="43"/>
      <c r="G132" s="44"/>
    </row>
    <row r="133" spans="1:7" x14ac:dyDescent="0.3">
      <c r="A133" s="47"/>
      <c r="B133" s="48"/>
      <c r="E133" s="42"/>
      <c r="F133" s="43"/>
      <c r="G133" s="44"/>
    </row>
    <row r="134" spans="1:7" x14ac:dyDescent="0.3">
      <c r="A134" s="47"/>
      <c r="B134" s="48"/>
      <c r="E134" s="42"/>
      <c r="F134" s="43"/>
      <c r="G134" s="44"/>
    </row>
    <row r="135" spans="1:7" x14ac:dyDescent="0.3">
      <c r="A135" s="47"/>
      <c r="B135" s="48"/>
      <c r="E135" s="42"/>
      <c r="F135" s="43"/>
      <c r="G135" s="44"/>
    </row>
    <row r="136" spans="1:7" x14ac:dyDescent="0.3">
      <c r="A136" s="47"/>
      <c r="B136" s="48"/>
      <c r="E136" s="42"/>
      <c r="F136" s="43"/>
      <c r="G136" s="44"/>
    </row>
    <row r="137" spans="1:7" x14ac:dyDescent="0.3">
      <c r="A137" s="47"/>
      <c r="B137" s="48"/>
      <c r="E137" s="42"/>
      <c r="F137" s="43"/>
      <c r="G137" s="44"/>
    </row>
    <row r="138" spans="1:7" x14ac:dyDescent="0.3">
      <c r="A138" s="47"/>
      <c r="B138" s="48"/>
      <c r="E138" s="42"/>
      <c r="F138" s="43"/>
      <c r="G138" s="44"/>
    </row>
    <row r="139" spans="1:7" x14ac:dyDescent="0.3">
      <c r="A139" s="47"/>
      <c r="B139" s="48"/>
      <c r="E139" s="42"/>
      <c r="F139" s="43"/>
      <c r="G139" s="44"/>
    </row>
    <row r="140" spans="1:7" x14ac:dyDescent="0.3">
      <c r="A140" s="47"/>
      <c r="B140" s="48"/>
      <c r="E140" s="42"/>
      <c r="F140" s="43"/>
      <c r="G140" s="44"/>
    </row>
    <row r="141" spans="1:7" x14ac:dyDescent="0.3">
      <c r="A141" s="47"/>
      <c r="B141" s="48"/>
    </row>
    <row r="142" spans="1:7" x14ac:dyDescent="0.3">
      <c r="A142" s="47"/>
      <c r="B142" s="48"/>
    </row>
    <row r="143" spans="1:7" x14ac:dyDescent="0.3">
      <c r="A143" s="47"/>
      <c r="B143" s="48"/>
    </row>
    <row r="144" spans="1:7" x14ac:dyDescent="0.3">
      <c r="A144" s="47"/>
      <c r="B144" s="48"/>
    </row>
    <row r="145" spans="1:10" x14ac:dyDescent="0.3">
      <c r="A145" s="47"/>
      <c r="B145" s="48"/>
    </row>
    <row r="146" spans="1:10" x14ac:dyDescent="0.3">
      <c r="A146" s="47"/>
      <c r="B146" s="48"/>
    </row>
    <row r="147" spans="1:10" x14ac:dyDescent="0.3">
      <c r="A147" s="47"/>
      <c r="B147" s="48"/>
    </row>
    <row r="148" spans="1:10" x14ac:dyDescent="0.3">
      <c r="A148" s="47"/>
      <c r="B148" s="48"/>
    </row>
    <row r="149" spans="1:10" x14ac:dyDescent="0.3">
      <c r="A149" s="47"/>
      <c r="B149" s="48"/>
    </row>
    <row r="150" spans="1:10" x14ac:dyDescent="0.3">
      <c r="A150" s="47"/>
      <c r="B150" s="48"/>
    </row>
    <row r="151" spans="1:10" x14ac:dyDescent="0.3">
      <c r="A151" s="47"/>
      <c r="B151" s="48"/>
    </row>
    <row r="152" spans="1:10" x14ac:dyDescent="0.3">
      <c r="A152" s="47"/>
      <c r="B152" s="48"/>
    </row>
    <row r="157" spans="1:10" x14ac:dyDescent="0.3">
      <c r="C157" s="45"/>
      <c r="D157" s="45"/>
      <c r="E157" s="45"/>
      <c r="F157" s="45"/>
      <c r="G157" s="45"/>
      <c r="H157" s="45"/>
      <c r="I157" s="45"/>
      <c r="J157" s="45"/>
    </row>
    <row r="158" spans="1:10" x14ac:dyDescent="0.3">
      <c r="C158" s="45"/>
      <c r="D158" s="45"/>
      <c r="E158" s="45"/>
      <c r="F158" s="45"/>
      <c r="G158" s="45"/>
      <c r="H158" s="45"/>
      <c r="I158" s="45"/>
      <c r="J158" s="45"/>
    </row>
    <row r="159" spans="1:10" x14ac:dyDescent="0.3">
      <c r="C159" s="45"/>
      <c r="D159" s="45"/>
      <c r="E159" s="45"/>
      <c r="F159" s="45"/>
      <c r="G159" s="45"/>
      <c r="H159" s="45"/>
      <c r="I159" s="45"/>
      <c r="J159" s="45"/>
    </row>
    <row r="160" spans="1:10" x14ac:dyDescent="0.3">
      <c r="C160" s="45"/>
      <c r="D160" s="45"/>
      <c r="E160" s="45"/>
      <c r="F160" s="45"/>
      <c r="G160" s="45"/>
      <c r="H160" s="45"/>
      <c r="I160" s="45"/>
      <c r="J160" s="45"/>
    </row>
    <row r="161" spans="2:10" x14ac:dyDescent="0.3">
      <c r="B161" s="48"/>
      <c r="C161" s="45"/>
      <c r="D161" s="45"/>
      <c r="E161" s="45"/>
      <c r="F161" s="45"/>
      <c r="G161" s="45"/>
      <c r="H161" s="45"/>
      <c r="I161" s="45"/>
      <c r="J161" s="45"/>
    </row>
    <row r="162" spans="2:10" x14ac:dyDescent="0.3">
      <c r="B162" s="48"/>
      <c r="C162" s="45"/>
      <c r="D162" s="45"/>
      <c r="E162" s="45"/>
      <c r="F162" s="45"/>
      <c r="G162" s="45"/>
      <c r="H162" s="45"/>
      <c r="I162" s="45"/>
      <c r="J162" s="45"/>
    </row>
    <row r="163" spans="2:10" x14ac:dyDescent="0.3">
      <c r="B163" s="48"/>
      <c r="C163" s="45"/>
      <c r="D163" s="45"/>
      <c r="E163" s="45"/>
      <c r="F163" s="45"/>
      <c r="G163" s="45"/>
      <c r="H163" s="45"/>
      <c r="I163" s="45"/>
      <c r="J163" s="45"/>
    </row>
    <row r="164" spans="2:10" x14ac:dyDescent="0.3">
      <c r="B164" s="48"/>
      <c r="C164" s="45"/>
      <c r="D164" s="45"/>
      <c r="E164" s="45"/>
      <c r="F164" s="45"/>
      <c r="G164" s="45"/>
      <c r="H164" s="45"/>
      <c r="I164" s="45"/>
      <c r="J164" s="45"/>
    </row>
    <row r="165" spans="2:10" x14ac:dyDescent="0.3">
      <c r="B165" s="48"/>
      <c r="C165" s="45"/>
      <c r="D165" s="45"/>
      <c r="E165" s="45"/>
      <c r="F165" s="45"/>
      <c r="G165" s="45"/>
      <c r="H165" s="45"/>
      <c r="I165" s="45"/>
      <c r="J165" s="45"/>
    </row>
    <row r="166" spans="2:10" x14ac:dyDescent="0.3">
      <c r="B166" s="48"/>
      <c r="C166" s="45"/>
      <c r="D166" s="45"/>
      <c r="E166" s="45"/>
      <c r="F166" s="45"/>
      <c r="G166" s="45"/>
      <c r="H166" s="45"/>
      <c r="I166" s="45"/>
      <c r="J166" s="45"/>
    </row>
    <row r="167" spans="2:10" x14ac:dyDescent="0.3">
      <c r="B167" s="48"/>
      <c r="C167" s="45"/>
      <c r="D167" s="45"/>
      <c r="E167" s="45"/>
      <c r="F167" s="45"/>
      <c r="G167" s="45"/>
      <c r="H167" s="45"/>
      <c r="I167" s="45"/>
      <c r="J167" s="45"/>
    </row>
    <row r="168" spans="2:10" x14ac:dyDescent="0.3">
      <c r="C168" s="45"/>
      <c r="D168" s="45"/>
      <c r="E168" s="45"/>
      <c r="F168" s="45"/>
      <c r="G168" s="45"/>
      <c r="H168" s="45"/>
      <c r="I168" s="45"/>
      <c r="J168" s="45"/>
    </row>
    <row r="169" spans="2:10" x14ac:dyDescent="0.3">
      <c r="C169" s="45"/>
      <c r="D169" s="45"/>
      <c r="E169" s="45"/>
      <c r="F169" s="45"/>
      <c r="G169" s="45"/>
      <c r="H169" s="45"/>
      <c r="I169" s="45"/>
      <c r="J169" s="45"/>
    </row>
    <row r="170" spans="2:10" x14ac:dyDescent="0.3">
      <c r="C170" s="45"/>
      <c r="D170" s="45"/>
      <c r="E170" s="45"/>
      <c r="F170" s="45"/>
      <c r="G170" s="45"/>
      <c r="H170" s="45"/>
      <c r="I170" s="45"/>
      <c r="J170" s="45"/>
    </row>
    <row r="171" spans="2:10" x14ac:dyDescent="0.3">
      <c r="C171" s="45"/>
      <c r="D171" s="45"/>
      <c r="E171" s="45"/>
      <c r="F171" s="45"/>
      <c r="G171" s="45"/>
      <c r="H171" s="45"/>
      <c r="I171" s="45"/>
      <c r="J171" s="45"/>
    </row>
    <row r="219" spans="1:2" x14ac:dyDescent="0.3">
      <c r="A219" s="50"/>
      <c r="B219" s="49"/>
    </row>
    <row r="220" spans="1:2" x14ac:dyDescent="0.3">
      <c r="A220" s="50"/>
      <c r="B220" s="49"/>
    </row>
    <row r="221" spans="1:2" x14ac:dyDescent="0.3">
      <c r="A221" s="50"/>
      <c r="B221" s="49"/>
    </row>
    <row r="222" spans="1:2" x14ac:dyDescent="0.3">
      <c r="A222" s="50"/>
      <c r="B222" s="49"/>
    </row>
    <row r="223" spans="1:2" x14ac:dyDescent="0.3">
      <c r="A223" s="50"/>
      <c r="B223" s="49"/>
    </row>
    <row r="224" spans="1:2" x14ac:dyDescent="0.3">
      <c r="A224" s="50"/>
      <c r="B224" s="49"/>
    </row>
    <row r="225" spans="1:2" x14ac:dyDescent="0.3">
      <c r="A225" s="50"/>
      <c r="B225" s="49"/>
    </row>
    <row r="226" spans="1:2" x14ac:dyDescent="0.3">
      <c r="A226" s="50"/>
      <c r="B226" s="49"/>
    </row>
    <row r="227" spans="1:2" x14ac:dyDescent="0.3">
      <c r="A227" s="50"/>
      <c r="B227" s="49"/>
    </row>
    <row r="228" spans="1:2" x14ac:dyDescent="0.3">
      <c r="A228" s="50"/>
      <c r="B228" s="49"/>
    </row>
    <row r="229" spans="1:2" x14ac:dyDescent="0.3">
      <c r="A229" s="50"/>
      <c r="B229" s="49"/>
    </row>
    <row r="230" spans="1:2" x14ac:dyDescent="0.3">
      <c r="A230" s="50"/>
      <c r="B230" s="49"/>
    </row>
    <row r="231" spans="1:2" x14ac:dyDescent="0.3">
      <c r="A231" s="50"/>
      <c r="B231" s="49"/>
    </row>
    <row r="232" spans="1:2" x14ac:dyDescent="0.3">
      <c r="A232" s="50"/>
      <c r="B232" s="49"/>
    </row>
    <row r="233" spans="1:2" x14ac:dyDescent="0.3">
      <c r="A233" s="50"/>
      <c r="B233" s="49"/>
    </row>
    <row r="234" spans="1:2" x14ac:dyDescent="0.3">
      <c r="A234" s="50"/>
      <c r="B234" s="49"/>
    </row>
    <row r="235" spans="1:2" x14ac:dyDescent="0.3">
      <c r="A235" s="50"/>
      <c r="B235" s="49"/>
    </row>
    <row r="236" spans="1:2" x14ac:dyDescent="0.3">
      <c r="A236" s="50"/>
      <c r="B236" s="49"/>
    </row>
    <row r="237" spans="1:2" x14ac:dyDescent="0.3">
      <c r="A237" s="50"/>
      <c r="B237" s="49"/>
    </row>
    <row r="238" spans="1:2" x14ac:dyDescent="0.3">
      <c r="A238" s="50"/>
      <c r="B238" s="49"/>
    </row>
    <row r="239" spans="1:2" x14ac:dyDescent="0.3">
      <c r="A239" s="50"/>
      <c r="B239" s="49"/>
    </row>
    <row r="240" spans="1:2" x14ac:dyDescent="0.3">
      <c r="A240" s="50"/>
      <c r="B240" s="49"/>
    </row>
  </sheetData>
  <sortState ref="A2:B4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1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1:B226 B2:B11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47"/>
  <sheetViews>
    <sheetView tabSelected="1" workbookViewId="0">
      <pane ySplit="1" topLeftCell="A2" activePane="bottomLeft" state="frozen"/>
      <selection pane="bottomLeft" activeCell="B15" sqref="B15"/>
    </sheetView>
  </sheetViews>
  <sheetFormatPr defaultRowHeight="14.4" x14ac:dyDescent="0.3"/>
  <cols>
    <col min="1" max="1" width="29.88671875" style="47" bestFit="1" customWidth="1"/>
    <col min="2" max="2" width="12.33203125" style="51" customWidth="1"/>
    <col min="5" max="5" width="9.88671875" bestFit="1" customWidth="1"/>
    <col min="7" max="7" width="15" bestFit="1" customWidth="1"/>
  </cols>
  <sheetData>
    <row r="1" spans="1:7" s="1" customFormat="1" x14ac:dyDescent="0.3">
      <c r="A1" s="60" t="s">
        <v>0</v>
      </c>
      <c r="B1" s="41" t="s">
        <v>2</v>
      </c>
    </row>
    <row r="2" spans="1:7" x14ac:dyDescent="0.3">
      <c r="A2" s="58">
        <v>45603</v>
      </c>
      <c r="B2" s="59">
        <v>13</v>
      </c>
      <c r="E2" s="42"/>
      <c r="F2" s="43"/>
      <c r="G2" s="44"/>
    </row>
    <row r="3" spans="1:7" x14ac:dyDescent="0.3">
      <c r="A3" s="58">
        <v>45604</v>
      </c>
      <c r="B3" s="59">
        <v>9</v>
      </c>
      <c r="E3" s="42"/>
      <c r="F3" s="43"/>
      <c r="G3" s="44"/>
    </row>
    <row r="4" spans="1:7" x14ac:dyDescent="0.3">
      <c r="A4" s="58">
        <v>45607</v>
      </c>
      <c r="B4" s="59">
        <v>4</v>
      </c>
      <c r="E4" s="42"/>
      <c r="F4" s="43"/>
      <c r="G4" s="44"/>
    </row>
    <row r="5" spans="1:7" x14ac:dyDescent="0.3">
      <c r="A5" s="58">
        <v>45608</v>
      </c>
      <c r="B5" s="59">
        <v>16</v>
      </c>
      <c r="E5" s="42"/>
      <c r="F5" s="43"/>
      <c r="G5" s="44"/>
    </row>
    <row r="6" spans="1:7" x14ac:dyDescent="0.3">
      <c r="A6" s="58">
        <v>45609</v>
      </c>
      <c r="B6" s="59">
        <v>2</v>
      </c>
      <c r="E6" s="42"/>
      <c r="F6" s="43"/>
      <c r="G6" s="44"/>
    </row>
    <row r="7" spans="1:7" x14ac:dyDescent="0.3">
      <c r="A7" s="58">
        <v>45610</v>
      </c>
      <c r="B7" s="59">
        <v>56</v>
      </c>
      <c r="E7" s="42"/>
      <c r="F7" s="43"/>
      <c r="G7" s="44"/>
    </row>
    <row r="8" spans="1:7" x14ac:dyDescent="0.3">
      <c r="A8" s="58">
        <v>45611</v>
      </c>
      <c r="B8" s="59">
        <v>48</v>
      </c>
      <c r="E8" s="42"/>
      <c r="F8" s="43"/>
      <c r="G8" s="44"/>
    </row>
    <row r="9" spans="1:7" x14ac:dyDescent="0.3">
      <c r="A9" s="47">
        <v>45614</v>
      </c>
      <c r="B9" s="51">
        <v>19</v>
      </c>
      <c r="E9" s="42"/>
      <c r="F9" s="43"/>
      <c r="G9" s="44"/>
    </row>
    <row r="10" spans="1:7" x14ac:dyDescent="0.3">
      <c r="A10" s="47">
        <v>45615</v>
      </c>
      <c r="B10" s="51">
        <v>16</v>
      </c>
      <c r="E10" s="42"/>
      <c r="F10" s="43"/>
      <c r="G10" s="44"/>
    </row>
    <row r="11" spans="1:7" x14ac:dyDescent="0.3">
      <c r="A11" s="47">
        <v>45616</v>
      </c>
      <c r="B11" s="51">
        <v>17</v>
      </c>
      <c r="E11" s="42"/>
      <c r="F11" s="43"/>
      <c r="G11" s="44"/>
    </row>
    <row r="12" spans="1:7" x14ac:dyDescent="0.3">
      <c r="A12" s="47">
        <v>45617</v>
      </c>
      <c r="B12" s="51">
        <v>13</v>
      </c>
      <c r="E12" s="42"/>
      <c r="F12" s="43"/>
      <c r="G12" s="44"/>
    </row>
    <row r="13" spans="1:7" x14ac:dyDescent="0.3">
      <c r="A13" s="47">
        <v>45618</v>
      </c>
      <c r="B13" s="51">
        <v>4</v>
      </c>
      <c r="E13" s="42"/>
      <c r="F13" s="43"/>
      <c r="G13" s="44"/>
    </row>
    <row r="14" spans="1:7" x14ac:dyDescent="0.3">
      <c r="A14" s="47">
        <v>45621</v>
      </c>
      <c r="B14" s="51">
        <v>171</v>
      </c>
      <c r="E14" s="42"/>
      <c r="F14" s="43"/>
      <c r="G14" s="44"/>
    </row>
    <row r="15" spans="1:7" x14ac:dyDescent="0.3">
      <c r="E15" s="42"/>
      <c r="F15" s="43"/>
      <c r="G15" s="44"/>
    </row>
    <row r="16" spans="1:7" x14ac:dyDescent="0.3">
      <c r="E16" s="42"/>
      <c r="F16" s="43"/>
      <c r="G16" s="44"/>
    </row>
    <row r="17" spans="5:7" x14ac:dyDescent="0.3">
      <c r="E17" s="42"/>
      <c r="F17" s="43"/>
      <c r="G17" s="44"/>
    </row>
    <row r="18" spans="5:7" x14ac:dyDescent="0.3">
      <c r="E18" s="42"/>
      <c r="F18" s="43"/>
      <c r="G18" s="44"/>
    </row>
    <row r="19" spans="5:7" x14ac:dyDescent="0.3">
      <c r="E19" s="42"/>
      <c r="F19" s="43"/>
      <c r="G19" s="44"/>
    </row>
    <row r="20" spans="5:7" x14ac:dyDescent="0.3">
      <c r="E20" s="42"/>
      <c r="F20" s="43"/>
      <c r="G20" s="44"/>
    </row>
    <row r="21" spans="5:7" x14ac:dyDescent="0.3">
      <c r="E21" s="42"/>
      <c r="F21" s="43"/>
      <c r="G21" s="44"/>
    </row>
    <row r="22" spans="5:7" x14ac:dyDescent="0.3">
      <c r="E22" s="42"/>
      <c r="F22" s="43"/>
      <c r="G22" s="44"/>
    </row>
    <row r="23" spans="5:7" x14ac:dyDescent="0.3">
      <c r="E23" s="42"/>
      <c r="F23" s="43"/>
      <c r="G23" s="44"/>
    </row>
    <row r="24" spans="5:7" x14ac:dyDescent="0.3">
      <c r="E24" s="42"/>
      <c r="F24" s="43"/>
      <c r="G24" s="44"/>
    </row>
    <row r="25" spans="5:7" x14ac:dyDescent="0.3">
      <c r="E25" s="42"/>
      <c r="F25" s="43"/>
      <c r="G25" s="44"/>
    </row>
    <row r="26" spans="5:7" x14ac:dyDescent="0.3">
      <c r="E26" s="42"/>
      <c r="F26" s="43"/>
      <c r="G26" s="44"/>
    </row>
    <row r="27" spans="5:7" x14ac:dyDescent="0.3">
      <c r="E27" s="42"/>
      <c r="F27" s="43"/>
      <c r="G27" s="44"/>
    </row>
    <row r="28" spans="5:7" x14ac:dyDescent="0.3">
      <c r="E28" s="42"/>
      <c r="F28" s="43"/>
      <c r="G28" s="44"/>
    </row>
    <row r="29" spans="5:7" x14ac:dyDescent="0.3">
      <c r="E29" s="42"/>
      <c r="F29" s="43"/>
      <c r="G29" s="44"/>
    </row>
    <row r="30" spans="5:7" x14ac:dyDescent="0.3">
      <c r="E30" s="42"/>
      <c r="F30" s="43"/>
      <c r="G30" s="44"/>
    </row>
    <row r="31" spans="5:7" x14ac:dyDescent="0.3">
      <c r="E31" s="42"/>
      <c r="F31" s="43"/>
      <c r="G31" s="44"/>
    </row>
    <row r="32" spans="5:7" x14ac:dyDescent="0.3">
      <c r="E32" s="42"/>
      <c r="F32" s="43"/>
      <c r="G32" s="44"/>
    </row>
    <row r="33" spans="2:7" x14ac:dyDescent="0.3">
      <c r="E33" s="42"/>
      <c r="F33" s="43"/>
      <c r="G33" s="44"/>
    </row>
    <row r="34" spans="2:7" x14ac:dyDescent="0.3">
      <c r="E34" s="42"/>
      <c r="F34" s="43"/>
      <c r="G34" s="44"/>
    </row>
    <row r="35" spans="2:7" x14ac:dyDescent="0.3">
      <c r="B35" s="48"/>
      <c r="E35" s="42"/>
      <c r="F35" s="43"/>
      <c r="G35" s="44"/>
    </row>
    <row r="36" spans="2:7" x14ac:dyDescent="0.3">
      <c r="B36" s="48"/>
      <c r="E36" s="42"/>
      <c r="F36" s="43"/>
      <c r="G36" s="44"/>
    </row>
    <row r="37" spans="2:7" x14ac:dyDescent="0.3">
      <c r="B37" s="48"/>
      <c r="E37" s="42"/>
      <c r="F37" s="43"/>
      <c r="G37" s="44"/>
    </row>
    <row r="38" spans="2:7" x14ac:dyDescent="0.3">
      <c r="B38" s="48"/>
      <c r="E38" s="42"/>
      <c r="F38" s="43"/>
      <c r="G38" s="44"/>
    </row>
    <row r="39" spans="2:7" x14ac:dyDescent="0.3">
      <c r="B39" s="48"/>
      <c r="E39" s="42"/>
      <c r="F39" s="43"/>
      <c r="G39" s="44"/>
    </row>
    <row r="40" spans="2:7" x14ac:dyDescent="0.3">
      <c r="B40" s="48"/>
      <c r="E40" s="42"/>
      <c r="F40" s="43"/>
      <c r="G40" s="44"/>
    </row>
    <row r="41" spans="2:7" x14ac:dyDescent="0.3">
      <c r="B41" s="48"/>
      <c r="E41" s="42"/>
      <c r="F41" s="43"/>
      <c r="G41" s="44"/>
    </row>
    <row r="42" spans="2:7" x14ac:dyDescent="0.3">
      <c r="B42" s="48"/>
      <c r="E42" s="42"/>
      <c r="F42" s="43"/>
      <c r="G42" s="44"/>
    </row>
    <row r="43" spans="2:7" x14ac:dyDescent="0.3">
      <c r="B43" s="48"/>
      <c r="E43" s="42"/>
      <c r="F43" s="43"/>
      <c r="G43" s="44"/>
    </row>
    <row r="44" spans="2:7" x14ac:dyDescent="0.3">
      <c r="B44" s="48"/>
      <c r="E44" s="42"/>
      <c r="F44" s="43"/>
      <c r="G44" s="44"/>
    </row>
    <row r="45" spans="2:7" x14ac:dyDescent="0.3">
      <c r="B45" s="48"/>
      <c r="E45" s="42"/>
      <c r="F45" s="43"/>
      <c r="G45" s="44"/>
    </row>
    <row r="46" spans="2:7" x14ac:dyDescent="0.3">
      <c r="B46" s="48"/>
      <c r="E46" s="42"/>
      <c r="F46" s="43"/>
      <c r="G46" s="44"/>
    </row>
    <row r="47" spans="2:7" x14ac:dyDescent="0.3">
      <c r="B47" s="48"/>
      <c r="E47" s="42"/>
      <c r="F47" s="43"/>
      <c r="G47" s="44"/>
    </row>
    <row r="48" spans="2:7" x14ac:dyDescent="0.3">
      <c r="B48" s="48"/>
      <c r="E48" s="42"/>
      <c r="F48" s="43"/>
      <c r="G48" s="44"/>
    </row>
    <row r="49" spans="2:31" x14ac:dyDescent="0.3">
      <c r="B49" s="48"/>
      <c r="E49" s="42"/>
      <c r="F49" s="43"/>
      <c r="G49" s="44"/>
    </row>
    <row r="50" spans="2:31" x14ac:dyDescent="0.3">
      <c r="B50" s="48"/>
      <c r="E50" s="42"/>
      <c r="F50" s="43"/>
      <c r="G50" s="44"/>
    </row>
    <row r="51" spans="2:31" x14ac:dyDescent="0.3">
      <c r="B51" s="48"/>
      <c r="E51" s="42"/>
      <c r="F51" s="43"/>
      <c r="G51" s="44"/>
    </row>
    <row r="52" spans="2:31" x14ac:dyDescent="0.3">
      <c r="B52" s="48"/>
      <c r="E52" s="42"/>
      <c r="F52" s="43"/>
      <c r="G52" s="44"/>
    </row>
    <row r="53" spans="2:31" x14ac:dyDescent="0.3">
      <c r="B53" s="48"/>
      <c r="E53" s="42"/>
      <c r="F53" s="43"/>
      <c r="G53" s="44"/>
    </row>
    <row r="54" spans="2:31" x14ac:dyDescent="0.3">
      <c r="B54" s="48"/>
      <c r="E54" s="42"/>
      <c r="F54" s="43"/>
      <c r="G54" s="44"/>
    </row>
    <row r="55" spans="2:31" x14ac:dyDescent="0.3">
      <c r="B55" s="48"/>
      <c r="E55" s="42"/>
      <c r="F55" s="43"/>
      <c r="G55" s="44"/>
    </row>
    <row r="56" spans="2:31" x14ac:dyDescent="0.3">
      <c r="B56" s="48"/>
      <c r="E56" s="42"/>
      <c r="F56" s="43"/>
      <c r="G56" s="44"/>
    </row>
    <row r="57" spans="2:31" x14ac:dyDescent="0.3">
      <c r="B57" s="48"/>
      <c r="E57" s="42"/>
      <c r="F57" s="43"/>
      <c r="G57" s="44"/>
    </row>
    <row r="58" spans="2:31" x14ac:dyDescent="0.3">
      <c r="B58" s="48"/>
      <c r="E58" s="42"/>
      <c r="F58" s="43"/>
      <c r="G58" s="44"/>
    </row>
    <row r="59" spans="2:31" x14ac:dyDescent="0.3">
      <c r="B59" s="48"/>
      <c r="E59" s="42"/>
      <c r="F59" s="43"/>
      <c r="G59" s="44"/>
    </row>
    <row r="60" spans="2:31" x14ac:dyDescent="0.3">
      <c r="B60" s="48"/>
      <c r="E60" s="42"/>
      <c r="F60" s="43"/>
      <c r="G60" s="44"/>
    </row>
    <row r="61" spans="2:31" x14ac:dyDescent="0.3">
      <c r="B61" s="48"/>
      <c r="E61" s="42"/>
      <c r="F61" s="53"/>
      <c r="G61" s="44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2:31" x14ac:dyDescent="0.3">
      <c r="B62" s="48"/>
      <c r="E62" s="42"/>
      <c r="F62" s="43"/>
      <c r="G62" s="44"/>
    </row>
    <row r="63" spans="2:31" x14ac:dyDescent="0.3">
      <c r="B63" s="48"/>
      <c r="E63" s="42"/>
      <c r="F63" s="43"/>
      <c r="G63" s="44"/>
    </row>
    <row r="64" spans="2:31" x14ac:dyDescent="0.3">
      <c r="B64" s="48"/>
      <c r="E64" s="42"/>
      <c r="F64" s="43"/>
      <c r="G64" s="44"/>
    </row>
    <row r="65" spans="2:7" x14ac:dyDescent="0.3">
      <c r="B65" s="48"/>
      <c r="E65" s="42"/>
      <c r="F65" s="43"/>
      <c r="G65" s="44"/>
    </row>
    <row r="66" spans="2:7" x14ac:dyDescent="0.3">
      <c r="B66" s="48"/>
      <c r="E66" s="42"/>
      <c r="F66" s="43"/>
      <c r="G66" s="44"/>
    </row>
    <row r="67" spans="2:7" x14ac:dyDescent="0.3">
      <c r="B67" s="48"/>
      <c r="E67" s="42"/>
      <c r="F67" s="43"/>
      <c r="G67" s="44"/>
    </row>
    <row r="68" spans="2:7" x14ac:dyDescent="0.3">
      <c r="B68" s="48"/>
      <c r="E68" s="42"/>
      <c r="F68" s="43"/>
      <c r="G68" s="44"/>
    </row>
    <row r="69" spans="2:7" x14ac:dyDescent="0.3">
      <c r="B69" s="48"/>
      <c r="E69" s="42"/>
      <c r="F69" s="43"/>
      <c r="G69" s="44"/>
    </row>
    <row r="70" spans="2:7" x14ac:dyDescent="0.3">
      <c r="B70" s="48"/>
      <c r="E70" s="42"/>
      <c r="F70" s="43"/>
      <c r="G70" s="44"/>
    </row>
    <row r="71" spans="2:7" x14ac:dyDescent="0.3">
      <c r="B71" s="48"/>
      <c r="E71" s="42"/>
      <c r="F71" s="43"/>
      <c r="G71" s="44"/>
    </row>
    <row r="72" spans="2:7" x14ac:dyDescent="0.3">
      <c r="B72" s="48"/>
      <c r="E72" s="42"/>
      <c r="F72" s="43"/>
      <c r="G72" s="44"/>
    </row>
    <row r="73" spans="2:7" x14ac:dyDescent="0.3">
      <c r="B73" s="48"/>
      <c r="E73" s="42"/>
      <c r="F73" s="43"/>
      <c r="G73" s="44"/>
    </row>
    <row r="74" spans="2:7" x14ac:dyDescent="0.3">
      <c r="B74" s="48"/>
      <c r="E74" s="42"/>
      <c r="F74" s="43"/>
      <c r="G74" s="44"/>
    </row>
    <row r="75" spans="2:7" x14ac:dyDescent="0.3">
      <c r="B75" s="48"/>
      <c r="E75" s="42"/>
      <c r="F75" s="43"/>
      <c r="G75" s="44"/>
    </row>
    <row r="76" spans="2:7" x14ac:dyDescent="0.3">
      <c r="B76" s="48"/>
      <c r="E76" s="42"/>
      <c r="F76" s="43"/>
      <c r="G76" s="44"/>
    </row>
    <row r="77" spans="2:7" x14ac:dyDescent="0.3">
      <c r="B77" s="48"/>
      <c r="E77" s="42"/>
      <c r="F77" s="43"/>
      <c r="G77" s="44"/>
    </row>
    <row r="78" spans="2:7" x14ac:dyDescent="0.3">
      <c r="B78" s="48"/>
      <c r="E78" s="42"/>
      <c r="F78" s="43"/>
      <c r="G78" s="44"/>
    </row>
    <row r="79" spans="2:7" x14ac:dyDescent="0.3">
      <c r="B79" s="48"/>
      <c r="E79" s="42"/>
      <c r="F79" s="43"/>
      <c r="G79" s="44"/>
    </row>
    <row r="80" spans="2:7" x14ac:dyDescent="0.3">
      <c r="B80" s="48"/>
      <c r="E80" s="42"/>
      <c r="F80" s="43"/>
      <c r="G80" s="44"/>
    </row>
    <row r="81" spans="2:7" x14ac:dyDescent="0.3">
      <c r="B81" s="48"/>
      <c r="E81" s="42"/>
      <c r="F81" s="43"/>
      <c r="G81" s="44"/>
    </row>
    <row r="82" spans="2:7" x14ac:dyDescent="0.3">
      <c r="B82" s="48"/>
      <c r="E82" s="42"/>
      <c r="F82" s="43"/>
      <c r="G82" s="44"/>
    </row>
    <row r="83" spans="2:7" x14ac:dyDescent="0.3">
      <c r="B83" s="48"/>
      <c r="E83" s="42"/>
      <c r="F83" s="43"/>
      <c r="G83" s="44"/>
    </row>
    <row r="84" spans="2:7" x14ac:dyDescent="0.3">
      <c r="B84" s="48"/>
      <c r="E84" s="42"/>
      <c r="F84" s="43"/>
      <c r="G84" s="44"/>
    </row>
    <row r="85" spans="2:7" x14ac:dyDescent="0.3">
      <c r="B85" s="48"/>
      <c r="E85" s="42"/>
      <c r="F85" s="43"/>
      <c r="G85" s="44"/>
    </row>
    <row r="86" spans="2:7" x14ac:dyDescent="0.3">
      <c r="B86" s="48"/>
      <c r="E86" s="42"/>
      <c r="F86" s="43"/>
      <c r="G86" s="44"/>
    </row>
    <row r="87" spans="2:7" x14ac:dyDescent="0.3">
      <c r="B87" s="48"/>
      <c r="E87" s="42"/>
      <c r="F87" s="43"/>
      <c r="G87" s="44"/>
    </row>
    <row r="88" spans="2:7" x14ac:dyDescent="0.3">
      <c r="B88" s="48"/>
      <c r="E88" s="42"/>
      <c r="F88" s="43"/>
      <c r="G88" s="44"/>
    </row>
    <row r="89" spans="2:7" x14ac:dyDescent="0.3">
      <c r="B89" s="48"/>
      <c r="E89" s="42"/>
      <c r="F89" s="43"/>
      <c r="G89" s="44"/>
    </row>
    <row r="90" spans="2:7" x14ac:dyDescent="0.3">
      <c r="B90" s="48"/>
      <c r="E90" s="42"/>
      <c r="F90" s="43"/>
      <c r="G90" s="44"/>
    </row>
    <row r="91" spans="2:7" x14ac:dyDescent="0.3">
      <c r="B91" s="48"/>
      <c r="E91" s="42"/>
      <c r="F91" s="43"/>
      <c r="G91" s="44"/>
    </row>
    <row r="92" spans="2:7" x14ac:dyDescent="0.3">
      <c r="B92" s="48"/>
      <c r="E92" s="42"/>
      <c r="F92" s="43"/>
      <c r="G92" s="44"/>
    </row>
    <row r="93" spans="2:7" x14ac:dyDescent="0.3">
      <c r="B93" s="48"/>
      <c r="E93" s="42"/>
      <c r="F93" s="43"/>
      <c r="G93" s="44"/>
    </row>
    <row r="94" spans="2:7" x14ac:dyDescent="0.3">
      <c r="B94" s="48"/>
      <c r="E94" s="42"/>
      <c r="F94" s="43"/>
      <c r="G94" s="44"/>
    </row>
    <row r="95" spans="2:7" x14ac:dyDescent="0.3">
      <c r="B95" s="48"/>
      <c r="E95" s="42"/>
      <c r="F95" s="43"/>
      <c r="G95" s="44"/>
    </row>
    <row r="96" spans="2:7" x14ac:dyDescent="0.3">
      <c r="B96" s="48"/>
      <c r="E96" s="42"/>
      <c r="F96" s="43"/>
      <c r="G96" s="44"/>
    </row>
    <row r="97" spans="2:7" x14ac:dyDescent="0.3">
      <c r="B97" s="48"/>
      <c r="E97" s="42"/>
      <c r="F97" s="43"/>
      <c r="G97" s="44"/>
    </row>
    <row r="98" spans="2:7" x14ac:dyDescent="0.3">
      <c r="B98" s="48"/>
      <c r="E98" s="42"/>
      <c r="F98" s="43"/>
      <c r="G98" s="44"/>
    </row>
    <row r="99" spans="2:7" x14ac:dyDescent="0.3">
      <c r="E99" s="42"/>
      <c r="F99" s="43"/>
      <c r="G99" s="44"/>
    </row>
    <row r="100" spans="2:7" x14ac:dyDescent="0.3">
      <c r="E100" s="42"/>
      <c r="F100" s="43"/>
      <c r="G100" s="44"/>
    </row>
    <row r="101" spans="2:7" x14ac:dyDescent="0.3">
      <c r="E101" s="42"/>
      <c r="F101" s="43"/>
      <c r="G101" s="44"/>
    </row>
    <row r="102" spans="2:7" x14ac:dyDescent="0.3">
      <c r="E102" s="42"/>
      <c r="F102" s="43"/>
      <c r="G102" s="44"/>
    </row>
    <row r="103" spans="2:7" x14ac:dyDescent="0.3">
      <c r="E103" s="42"/>
      <c r="F103" s="43"/>
      <c r="G103" s="44"/>
    </row>
    <row r="104" spans="2:7" x14ac:dyDescent="0.3">
      <c r="E104" s="42"/>
      <c r="F104" s="43"/>
      <c r="G104" s="44"/>
    </row>
    <row r="105" spans="2:7" x14ac:dyDescent="0.3">
      <c r="E105" s="42"/>
      <c r="F105" s="43"/>
      <c r="G105" s="44"/>
    </row>
    <row r="106" spans="2:7" x14ac:dyDescent="0.3">
      <c r="E106" s="42"/>
      <c r="F106" s="43"/>
      <c r="G106" s="44"/>
    </row>
    <row r="107" spans="2:7" x14ac:dyDescent="0.3">
      <c r="B107" s="48"/>
      <c r="E107" s="42"/>
      <c r="F107" s="43"/>
      <c r="G107" s="44"/>
    </row>
    <row r="108" spans="2:7" x14ac:dyDescent="0.3">
      <c r="B108" s="48"/>
      <c r="E108" s="42"/>
      <c r="F108" s="43"/>
      <c r="G108" s="44"/>
    </row>
    <row r="109" spans="2:7" x14ac:dyDescent="0.3">
      <c r="B109" s="48"/>
      <c r="E109" s="42"/>
      <c r="F109" s="43"/>
      <c r="G109" s="44"/>
    </row>
    <row r="110" spans="2:7" x14ac:dyDescent="0.3">
      <c r="B110" s="48"/>
      <c r="E110" s="42"/>
      <c r="F110" s="43"/>
      <c r="G110" s="44"/>
    </row>
    <row r="111" spans="2:7" x14ac:dyDescent="0.3">
      <c r="B111" s="48"/>
      <c r="E111" s="42"/>
      <c r="F111" s="43"/>
      <c r="G111" s="44"/>
    </row>
    <row r="112" spans="2:7" x14ac:dyDescent="0.3">
      <c r="B112" s="48"/>
      <c r="E112" s="42"/>
      <c r="F112" s="43"/>
      <c r="G112" s="44"/>
    </row>
    <row r="113" spans="2:7" x14ac:dyDescent="0.3">
      <c r="B113" s="48"/>
      <c r="E113" s="42"/>
      <c r="F113" s="43"/>
      <c r="G113" s="44"/>
    </row>
    <row r="114" spans="2:7" x14ac:dyDescent="0.3">
      <c r="E114" s="42"/>
      <c r="F114" s="43"/>
      <c r="G114" s="44"/>
    </row>
    <row r="115" spans="2:7" x14ac:dyDescent="0.3">
      <c r="E115" s="42"/>
      <c r="F115" s="43"/>
      <c r="G115" s="44"/>
    </row>
    <row r="116" spans="2:7" x14ac:dyDescent="0.3">
      <c r="E116" s="42"/>
      <c r="F116" s="43"/>
      <c r="G116" s="44"/>
    </row>
    <row r="117" spans="2:7" x14ac:dyDescent="0.3">
      <c r="E117" s="42"/>
      <c r="F117" s="43"/>
      <c r="G117" s="44"/>
    </row>
    <row r="118" spans="2:7" x14ac:dyDescent="0.3">
      <c r="E118" s="42"/>
      <c r="F118" s="43"/>
      <c r="G118" s="44"/>
    </row>
    <row r="119" spans="2:7" x14ac:dyDescent="0.3">
      <c r="E119" s="42"/>
      <c r="F119" s="43"/>
      <c r="G119" s="44"/>
    </row>
    <row r="120" spans="2:7" x14ac:dyDescent="0.3">
      <c r="E120" s="42"/>
      <c r="F120" s="43"/>
      <c r="G120" s="44"/>
    </row>
    <row r="121" spans="2:7" x14ac:dyDescent="0.3">
      <c r="E121" s="42"/>
      <c r="F121" s="43"/>
      <c r="G121" s="44"/>
    </row>
    <row r="122" spans="2:7" x14ac:dyDescent="0.3">
      <c r="E122" s="42"/>
      <c r="F122" s="43"/>
      <c r="G122" s="44"/>
    </row>
    <row r="123" spans="2:7" x14ac:dyDescent="0.3">
      <c r="E123" s="42"/>
      <c r="F123" s="43"/>
      <c r="G123" s="44"/>
    </row>
    <row r="124" spans="2:7" x14ac:dyDescent="0.3">
      <c r="E124" s="42"/>
      <c r="F124" s="43"/>
      <c r="G124" s="44"/>
    </row>
    <row r="125" spans="2:7" x14ac:dyDescent="0.3">
      <c r="E125" s="42"/>
      <c r="F125" s="43"/>
      <c r="G125" s="44"/>
    </row>
    <row r="126" spans="2:7" x14ac:dyDescent="0.3">
      <c r="E126" s="42"/>
      <c r="F126" s="43"/>
      <c r="G126" s="44"/>
    </row>
    <row r="127" spans="2:7" x14ac:dyDescent="0.3">
      <c r="E127" s="42"/>
      <c r="F127" s="43"/>
      <c r="G127" s="44"/>
    </row>
    <row r="128" spans="2:7" x14ac:dyDescent="0.3">
      <c r="E128" s="42"/>
      <c r="F128" s="43"/>
      <c r="G128" s="44"/>
    </row>
    <row r="129" spans="5:7" x14ac:dyDescent="0.3">
      <c r="E129" s="42"/>
      <c r="F129" s="43"/>
      <c r="G129" s="44"/>
    </row>
    <row r="130" spans="5:7" x14ac:dyDescent="0.3">
      <c r="E130" s="42"/>
      <c r="F130" s="43"/>
      <c r="G130" s="44"/>
    </row>
    <row r="131" spans="5:7" x14ac:dyDescent="0.3">
      <c r="E131" s="42"/>
      <c r="F131" s="43"/>
      <c r="G131" s="44"/>
    </row>
    <row r="132" spans="5:7" x14ac:dyDescent="0.3">
      <c r="E132" s="42"/>
      <c r="F132" s="43"/>
      <c r="G132" s="44"/>
    </row>
    <row r="133" spans="5:7" x14ac:dyDescent="0.3">
      <c r="E133" s="42"/>
      <c r="F133" s="43"/>
      <c r="G133" s="44"/>
    </row>
    <row r="134" spans="5:7" x14ac:dyDescent="0.3">
      <c r="E134" s="42"/>
      <c r="F134" s="43"/>
      <c r="G134" s="44"/>
    </row>
    <row r="135" spans="5:7" x14ac:dyDescent="0.3">
      <c r="E135" s="42"/>
      <c r="F135" s="43"/>
      <c r="G135" s="44"/>
    </row>
    <row r="136" spans="5:7" x14ac:dyDescent="0.3">
      <c r="E136" s="42"/>
      <c r="F136" s="43"/>
      <c r="G136" s="44"/>
    </row>
    <row r="137" spans="5:7" x14ac:dyDescent="0.3">
      <c r="E137" s="42"/>
      <c r="F137" s="43"/>
      <c r="G137" s="44"/>
    </row>
    <row r="138" spans="5:7" x14ac:dyDescent="0.3">
      <c r="E138" s="42"/>
      <c r="F138" s="43"/>
      <c r="G138" s="44"/>
    </row>
    <row r="139" spans="5:7" x14ac:dyDescent="0.3">
      <c r="E139" s="42"/>
      <c r="F139" s="43"/>
      <c r="G139" s="44"/>
    </row>
    <row r="140" spans="5:7" x14ac:dyDescent="0.3">
      <c r="E140" s="42"/>
      <c r="F140" s="43"/>
      <c r="G140" s="44"/>
    </row>
    <row r="141" spans="5:7" x14ac:dyDescent="0.3">
      <c r="E141" s="42"/>
      <c r="F141" s="43"/>
      <c r="G141" s="44"/>
    </row>
    <row r="142" spans="5:7" x14ac:dyDescent="0.3">
      <c r="E142" s="42"/>
      <c r="F142" s="43"/>
      <c r="G142" s="44"/>
    </row>
    <row r="143" spans="5:7" x14ac:dyDescent="0.3">
      <c r="E143" s="42"/>
      <c r="F143" s="43"/>
      <c r="G143" s="44"/>
    </row>
    <row r="144" spans="5:7" x14ac:dyDescent="0.3">
      <c r="E144" s="42"/>
      <c r="F144" s="43"/>
      <c r="G144" s="44"/>
    </row>
    <row r="145" spans="5:7" x14ac:dyDescent="0.3">
      <c r="E145" s="42"/>
      <c r="F145" s="43"/>
      <c r="G145" s="44"/>
    </row>
    <row r="146" spans="5:7" x14ac:dyDescent="0.3">
      <c r="E146" s="42"/>
      <c r="F146" s="43"/>
      <c r="G146" s="44"/>
    </row>
    <row r="147" spans="5:7" x14ac:dyDescent="0.3">
      <c r="E147" s="42"/>
      <c r="F147" s="43"/>
      <c r="G147" s="44"/>
    </row>
  </sheetData>
  <sortState ref="A2:B56">
    <sortCondition ref="A1"/>
  </sortState>
  <conditionalFormatting sqref="B5">
    <cfRule type="cellIs" dxfId="1" priority="2" operator="greaterThan">
      <formula>150</formula>
    </cfRule>
  </conditionalFormatting>
  <conditionalFormatting sqref="B2:B4 B6:B8">
    <cfRule type="cellIs" dxfId="0" priority="1" operator="greaterThan">
      <formula>150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00:B1048576 B77:B98 B35:B62 B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6B6E73BE1E40468A7DDCC534874A78" ma:contentTypeVersion="16" ma:contentTypeDescription="Create a new document." ma:contentTypeScope="" ma:versionID="c80a216e26b2d3c40def2e4741c3a274">
  <xsd:schema xmlns:xsd="http://www.w3.org/2001/XMLSchema" xmlns:xs="http://www.w3.org/2001/XMLSchema" xmlns:p="http://schemas.microsoft.com/office/2006/metadata/properties" xmlns:ns2="34cf795c-2367-4fd5-ad97-2ce55b22a6a2" xmlns:ns3="a6e05537-0fbd-41cd-bda1-7142d082d70c" targetNamespace="http://schemas.microsoft.com/office/2006/metadata/properties" ma:root="true" ma:fieldsID="f2ea94a4e92f844117aaf1a5c0736fa3" ns2:_="" ns3:_="">
    <xsd:import namespace="34cf795c-2367-4fd5-ad97-2ce55b22a6a2"/>
    <xsd:import namespace="a6e05537-0fbd-41cd-bda1-7142d082d7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f795c-2367-4fd5-ad97-2ce55b22a6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0b9dad4-8877-4382-917e-fe83f3164c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05537-0fbd-41cd-bda1-7142d082d70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34bc271-3c2d-4580-b351-6a3053dc8c37}" ma:internalName="TaxCatchAll" ma:showField="CatchAllData" ma:web="a6e05537-0fbd-41cd-bda1-7142d082d7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cf795c-2367-4fd5-ad97-2ce55b22a6a2">
      <Terms xmlns="http://schemas.microsoft.com/office/infopath/2007/PartnerControls"/>
    </lcf76f155ced4ddcb4097134ff3c332f>
    <_Flow_SignoffStatus xmlns="34cf795c-2367-4fd5-ad97-2ce55b22a6a2" xsi:nil="true"/>
    <TaxCatchAll xmlns="a6e05537-0fbd-41cd-bda1-7142d082d70c" xsi:nil="true"/>
  </documentManagement>
</p:properties>
</file>

<file path=customXml/itemProps1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90D303-CB31-4845-B823-AD253681E1B9}"/>
</file>

<file path=customXml/itemProps3.xml><?xml version="1.0" encoding="utf-8"?>
<ds:datastoreItem xmlns:ds="http://schemas.openxmlformats.org/officeDocument/2006/customXml" ds:itemID="{EFB7DB39-9527-4B5C-94DD-CBF2B1B4671C}">
  <ds:schemaRefs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2024-11-28T09:12:32Z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0x010100786B6E73BE1E40468A7DDCC534874A78</vt:lpwstr>
  </property>
</Properties>
</file>