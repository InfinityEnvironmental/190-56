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://teamsites.capetown.gov.za/sites/coastman/Atlantic Coast/General/Project - Hout Bay Beach Rehab/Hout Bay Dune rehabilitation/weather data/"/>
    </mc:Choice>
  </mc:AlternateContent>
  <bookViews>
    <workbookView xWindow="0" yWindow="0" windowWidth="23040" windowHeight="9192"/>
  </bookViews>
  <sheets>
    <sheet name="result_list" sheetId="1" r:id="rId1"/>
    <sheet name="Graph" sheetId="2" r:id="rId2"/>
  </sheets>
  <definedNames>
    <definedName name="_xlnm._FilterDatabase" localSheetId="0" hidden="1">result_list!$A$2:$F$2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9" i="1" l="1"/>
  <c r="D189" i="1"/>
  <c r="C189" i="1"/>
  <c r="B189" i="1"/>
  <c r="E188" i="1"/>
  <c r="D188" i="1"/>
  <c r="C188" i="1"/>
  <c r="B188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E3" i="1"/>
  <c r="C3" i="1"/>
</calcChain>
</file>

<file path=xl/comments1.xml><?xml version="1.0" encoding="utf-8"?>
<comments xmlns="http://schemas.openxmlformats.org/spreadsheetml/2006/main">
  <authors>
    <author>Author</author>
  </authors>
  <commentList>
    <comment ref="B2" authorId="0" shapeId="0">
      <text>
        <r>
          <rPr>
            <sz val="11"/>
            <color rgb="FF000000"/>
            <rFont val="Calibri"/>
          </rPr>
          <t>Statistical mode: Average</t>
        </r>
      </text>
    </comment>
    <comment ref="D2" authorId="0" shapeId="0">
      <text>
        <r>
          <rPr>
            <sz val="11"/>
            <color rgb="FF000000"/>
            <rFont val="Calibri"/>
          </rPr>
          <t>Statistical mode: Max</t>
        </r>
      </text>
    </comment>
    <comment ref="F2" authorId="0" shapeId="0">
      <text>
        <r>
          <rPr>
            <sz val="11"/>
            <color rgb="FF000000"/>
            <rFont val="Calibri"/>
          </rPr>
          <t>Statistical mode: Weighted Average Of Vector</t>
        </r>
      </text>
    </comment>
  </commentList>
</comments>
</file>

<file path=xl/sharedStrings.xml><?xml version="1.0" encoding="utf-8"?>
<sst xmlns="http://schemas.openxmlformats.org/spreadsheetml/2006/main" count="285" uniqueCount="203">
  <si>
    <t>Time</t>
  </si>
  <si>
    <t>Wind</t>
  </si>
  <si>
    <t>Wind Speed(m/s)</t>
  </si>
  <si>
    <t>Wind Gust(m/s)</t>
  </si>
  <si>
    <t>Wind Direction(º)</t>
  </si>
  <si>
    <t>2023-10-01 02:00</t>
  </si>
  <si>
    <t>2023-10-01 06:00</t>
  </si>
  <si>
    <t>2023-10-01 10:00</t>
  </si>
  <si>
    <t>2023-10-01 14:00</t>
  </si>
  <si>
    <t>2023-10-01 18:00</t>
  </si>
  <si>
    <t>2023-10-01 22:00</t>
  </si>
  <si>
    <t>2023-10-02 02:00</t>
  </si>
  <si>
    <t>2023-10-02 06:00</t>
  </si>
  <si>
    <t>2023-10-02 10:00</t>
  </si>
  <si>
    <t>2023-10-02 14:00</t>
  </si>
  <si>
    <t>2023-10-02 18:00</t>
  </si>
  <si>
    <t>2023-10-02 22:00</t>
  </si>
  <si>
    <t>2023-10-03 02:00</t>
  </si>
  <si>
    <t>2023-10-03 06:00</t>
  </si>
  <si>
    <t>2023-10-03 10:00</t>
  </si>
  <si>
    <t>2023-10-03 18:00</t>
  </si>
  <si>
    <t>2023-10-03 22:00</t>
  </si>
  <si>
    <t>2023-10-04 02:00</t>
  </si>
  <si>
    <t>2023-10-04 06:00</t>
  </si>
  <si>
    <t>2023-10-04 10:00</t>
  </si>
  <si>
    <t>2023-10-04 14:00</t>
  </si>
  <si>
    <t>2023-10-04 18:00</t>
  </si>
  <si>
    <t>2023-10-04 22:00</t>
  </si>
  <si>
    <t>2023-10-05 02:00</t>
  </si>
  <si>
    <t>2023-10-05 06:00</t>
  </si>
  <si>
    <t>2023-10-05 10:00</t>
  </si>
  <si>
    <t>2023-10-05 14:00</t>
  </si>
  <si>
    <t>2023-10-05 18:00</t>
  </si>
  <si>
    <t>2023-10-05 22:00</t>
  </si>
  <si>
    <t>2023-10-06 02:00</t>
  </si>
  <si>
    <t>2023-10-06 06:00</t>
  </si>
  <si>
    <t>2023-10-06 10:00</t>
  </si>
  <si>
    <t>2023-10-06 14:00</t>
  </si>
  <si>
    <t>2023-10-06 18:00</t>
  </si>
  <si>
    <t>2023-10-06 22:00</t>
  </si>
  <si>
    <t>2023-10-07 02:00</t>
  </si>
  <si>
    <t>2023-10-07 06:00</t>
  </si>
  <si>
    <t>2023-10-07 10:00</t>
  </si>
  <si>
    <t>2023-10-07 14:00</t>
  </si>
  <si>
    <t>2023-10-07 18:00</t>
  </si>
  <si>
    <t>2023-10-07 22:00</t>
  </si>
  <si>
    <t>2023-10-08 02:00</t>
  </si>
  <si>
    <t>2023-10-08 06:00</t>
  </si>
  <si>
    <t>2023-10-08 10:00</t>
  </si>
  <si>
    <t>2023-10-08 14:00</t>
  </si>
  <si>
    <t>2023-10-08 18:00</t>
  </si>
  <si>
    <t>2023-10-08 22:00</t>
  </si>
  <si>
    <t>2023-10-09 02:00</t>
  </si>
  <si>
    <t>2023-10-09 06:00</t>
  </si>
  <si>
    <t>2023-10-09 10:00</t>
  </si>
  <si>
    <t>2023-10-09 14:00</t>
  </si>
  <si>
    <t>2023-10-09 18:00</t>
  </si>
  <si>
    <t>2023-10-09 22:00</t>
  </si>
  <si>
    <t>2023-10-10 02:00</t>
  </si>
  <si>
    <t>2023-10-10 06:00</t>
  </si>
  <si>
    <t>2023-10-10 10:00</t>
  </si>
  <si>
    <t>2023-10-10 14:00</t>
  </si>
  <si>
    <t>2023-10-10 18:00</t>
  </si>
  <si>
    <t>2023-10-10 22:00</t>
  </si>
  <si>
    <t>2023-10-11 02:00</t>
  </si>
  <si>
    <t>2023-10-11 06:00</t>
  </si>
  <si>
    <t>2023-10-11 10:00</t>
  </si>
  <si>
    <t>2023-10-11 14:00</t>
  </si>
  <si>
    <t>2023-10-11 18:00</t>
  </si>
  <si>
    <t>2023-10-11 22:00</t>
  </si>
  <si>
    <t>2023-10-12 02:00</t>
  </si>
  <si>
    <t>2023-10-12 06:00</t>
  </si>
  <si>
    <t>2023-10-12 10:00</t>
  </si>
  <si>
    <t>2023-10-12 14:00</t>
  </si>
  <si>
    <t>2023-10-12 18:00</t>
  </si>
  <si>
    <t>2023-10-12 22:00</t>
  </si>
  <si>
    <t>2023-10-13 02:00</t>
  </si>
  <si>
    <t>2023-10-13 06:00</t>
  </si>
  <si>
    <t>2023-10-13 10:00</t>
  </si>
  <si>
    <t>2023-10-13 14:00</t>
  </si>
  <si>
    <t>2023-10-13 18:00</t>
  </si>
  <si>
    <t>2023-10-13 22:00</t>
  </si>
  <si>
    <t>2023-10-14 02:00</t>
  </si>
  <si>
    <t>2023-10-14 06:00</t>
  </si>
  <si>
    <t>2023-10-14 10:00</t>
  </si>
  <si>
    <t>2023-10-14 14:00</t>
  </si>
  <si>
    <t>2023-10-14 18:00</t>
  </si>
  <si>
    <t>2023-10-14 22:00</t>
  </si>
  <si>
    <t>2023-10-15 02:00</t>
  </si>
  <si>
    <t>2023-10-15 06:00</t>
  </si>
  <si>
    <t>2023-10-15 10:00</t>
  </si>
  <si>
    <t>2023-10-15 14:00</t>
  </si>
  <si>
    <t>2023-10-15 18:00</t>
  </si>
  <si>
    <t>2023-10-15 22:00</t>
  </si>
  <si>
    <t>2023-10-16 02:00</t>
  </si>
  <si>
    <t>2023-10-16 06:00</t>
  </si>
  <si>
    <t>2023-10-16 10:00</t>
  </si>
  <si>
    <t>2023-10-16 14:00</t>
  </si>
  <si>
    <t>2023-10-16 18:00</t>
  </si>
  <si>
    <t>2023-10-16 22:00</t>
  </si>
  <si>
    <t>2023-10-17 02:00</t>
  </si>
  <si>
    <t>2023-10-17 06:00</t>
  </si>
  <si>
    <t>2023-10-17 10:00</t>
  </si>
  <si>
    <t>2023-10-17 14:00</t>
  </si>
  <si>
    <t>2023-10-17 18:00</t>
  </si>
  <si>
    <t>2023-10-17 22:00</t>
  </si>
  <si>
    <t>2023-10-18 02:00</t>
  </si>
  <si>
    <t>2023-10-18 06:00</t>
  </si>
  <si>
    <t>2023-10-18 10:00</t>
  </si>
  <si>
    <t>2023-10-18 14:00</t>
  </si>
  <si>
    <t>2023-10-18 18:00</t>
  </si>
  <si>
    <t>2023-10-18 22:00</t>
  </si>
  <si>
    <t>2023-10-19 06:00</t>
  </si>
  <si>
    <t>2023-10-19 10:00</t>
  </si>
  <si>
    <t>2023-10-19 14:00</t>
  </si>
  <si>
    <t>2023-10-19 18:00</t>
  </si>
  <si>
    <t>2023-10-19 22:00</t>
  </si>
  <si>
    <t>2023-10-20 02:00</t>
  </si>
  <si>
    <t>2023-10-20 06:00</t>
  </si>
  <si>
    <t>2023-10-20 10:00</t>
  </si>
  <si>
    <t>2023-10-20 14:00</t>
  </si>
  <si>
    <t>2023-10-20 18:00</t>
  </si>
  <si>
    <t>2023-10-20 22:00</t>
  </si>
  <si>
    <t>2023-10-21 02:00</t>
  </si>
  <si>
    <t>2023-10-21 06:00</t>
  </si>
  <si>
    <t>2023-10-21 10:00</t>
  </si>
  <si>
    <t>2023-10-21 14:00</t>
  </si>
  <si>
    <t>2023-10-21 18:00</t>
  </si>
  <si>
    <t>2023-10-21 22:00</t>
  </si>
  <si>
    <t>2023-10-22 02:00</t>
  </si>
  <si>
    <t>2023-10-22 06:00</t>
  </si>
  <si>
    <t>2023-10-22 10:00</t>
  </si>
  <si>
    <t>2023-10-22 14:00</t>
  </si>
  <si>
    <t>2023-10-22 18:00</t>
  </si>
  <si>
    <t>2023-10-22 22:00</t>
  </si>
  <si>
    <t>2023-10-23 02:00</t>
  </si>
  <si>
    <t>2023-10-23 06:00</t>
  </si>
  <si>
    <t>2023-10-23 10:00</t>
  </si>
  <si>
    <t>2023-10-23 14:00</t>
  </si>
  <si>
    <t>2023-10-23 18:00</t>
  </si>
  <si>
    <t>2023-10-23 22:00</t>
  </si>
  <si>
    <t>2023-10-24 02:00</t>
  </si>
  <si>
    <t>2023-10-24 06:00</t>
  </si>
  <si>
    <t>2023-10-24 10:00</t>
  </si>
  <si>
    <t>2023-10-24 14:00</t>
  </si>
  <si>
    <t>2023-10-24 18:00</t>
  </si>
  <si>
    <t>2023-10-24 22:00</t>
  </si>
  <si>
    <t>2023-10-25 02:00</t>
  </si>
  <si>
    <t>2023-10-25 06:00</t>
  </si>
  <si>
    <t>2023-10-25 10:00</t>
  </si>
  <si>
    <t>2023-10-25 14:00</t>
  </si>
  <si>
    <t>2023-10-25 18:00</t>
  </si>
  <si>
    <t>2023-10-25 22:00</t>
  </si>
  <si>
    <t>2023-10-26 02:00</t>
  </si>
  <si>
    <t>2023-10-26 06:00</t>
  </si>
  <si>
    <t>2023-10-26 10:00</t>
  </si>
  <si>
    <t>2023-10-26 14:00</t>
  </si>
  <si>
    <t>2023-10-26 18:00</t>
  </si>
  <si>
    <t>2023-10-26 22:00</t>
  </si>
  <si>
    <t>2023-10-27 02:00</t>
  </si>
  <si>
    <t>2023-10-27 06:00</t>
  </si>
  <si>
    <t>2023-10-27 10:00</t>
  </si>
  <si>
    <t>2023-10-27 14:00</t>
  </si>
  <si>
    <t>2023-10-27 18:00</t>
  </si>
  <si>
    <t>2023-10-27 22:00</t>
  </si>
  <si>
    <t>2023-10-28 02:00</t>
  </si>
  <si>
    <t>2023-10-28 10:00</t>
  </si>
  <si>
    <t>2023-10-28 14:00</t>
  </si>
  <si>
    <t>2023-10-28 18:00</t>
  </si>
  <si>
    <t>2023-10-28 22:00</t>
  </si>
  <si>
    <t>2023-10-29 02:00</t>
  </si>
  <si>
    <t>2023-10-29 06:00</t>
  </si>
  <si>
    <t>2023-10-29 10:00</t>
  </si>
  <si>
    <t>2023-10-29 14:00</t>
  </si>
  <si>
    <t>2023-10-29 18:00</t>
  </si>
  <si>
    <t>2023-10-29 22:00</t>
  </si>
  <si>
    <t>2023-10-30 02:00</t>
  </si>
  <si>
    <t>2023-10-30 06:00</t>
  </si>
  <si>
    <t>2023-10-30 10:00</t>
  </si>
  <si>
    <t>2023-10-30 14:00</t>
  </si>
  <si>
    <t>2023-10-30 18:00</t>
  </si>
  <si>
    <t>2023-10-30 22:00</t>
  </si>
  <si>
    <t>2023-10-31 02:00</t>
  </si>
  <si>
    <t>2023-10-31 06:00</t>
  </si>
  <si>
    <t>2023-10-31 10:00</t>
  </si>
  <si>
    <t>2023-10-31 14:00</t>
  </si>
  <si>
    <t>2023-10-31 18:00</t>
  </si>
  <si>
    <t>2023-10-31 22:00</t>
  </si>
  <si>
    <t>SSE</t>
  </si>
  <si>
    <t>SE</t>
  </si>
  <si>
    <t>ESE</t>
  </si>
  <si>
    <t xml:space="preserve">E </t>
  </si>
  <si>
    <t>E</t>
  </si>
  <si>
    <t>Wind speed km/h</t>
  </si>
  <si>
    <t>Gust speed km/h</t>
  </si>
  <si>
    <t>Average</t>
  </si>
  <si>
    <t>Median</t>
  </si>
  <si>
    <t>NW</t>
  </si>
  <si>
    <t>S</t>
  </si>
  <si>
    <t>Classes</t>
  </si>
  <si>
    <t>0,0 to 9,19m/s = Below average wind gusts</t>
  </si>
  <si>
    <t>9,2 to 11,0m/s = Slightly higher winds</t>
  </si>
  <si>
    <t>above 11,1m/s = High wind events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</si>
</sst>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>
    <font>
      <sz val="11"/>
      <color rgb="FF000000"/>
      <name val="Calibri"/>
    </font>
    <font>
      <sz val="9"/>
      <color rgb="FF000000"/>
      <name val="宋体"/>
    </font>
    <font>
      <b/>
      <sz val="11"/>
      <color rgb="FF000000"/>
      <name val="宋体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22" fontId="1" fillId="2" borderId="1" xfId="0" applyNumberFormat="1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0" fillId="0" borderId="1" xfId="0" applyBorder="1"/>
    <xf numFmtId="0" fontId="1" fillId="3" borderId="1" xfId="0" applyFont="1" applyFill="1" applyBorder="1" applyAlignment="1">
      <alignment horizontal="center" vertical="center"/>
    </xf>
    <xf numFmtId="164" fontId="0" fillId="3" borderId="1" xfId="0" applyNumberFormat="1" applyFill="1" applyBorder="1"/>
    <xf numFmtId="0" fontId="0" fillId="3" borderId="1" xfId="0" applyFill="1" applyBorder="1"/>
    <xf numFmtId="0" fontId="1" fillId="4" borderId="1" xfId="0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164" fontId="1" fillId="4" borderId="2" xfId="0" applyNumberFormat="1" applyFont="1" applyFill="1" applyBorder="1" applyAlignment="1">
      <alignment horizontal="center" vertical="center"/>
    </xf>
    <xf numFmtId="1" fontId="1" fillId="4" borderId="2" xfId="0" applyNumberFormat="1" applyFont="1" applyFill="1" applyBorder="1" applyAlignment="1">
      <alignment horizontal="center" vertical="center"/>
    </xf>
    <xf numFmtId="0" fontId="0" fillId="4" borderId="1" xfId="0" applyFill="1" applyBorder="1"/>
    <xf numFmtId="0" fontId="1" fillId="4" borderId="3" xfId="0" applyFont="1" applyFill="1" applyBorder="1" applyAlignment="1">
      <alignment horizontal="center" vertical="center"/>
    </xf>
    <xf numFmtId="164" fontId="1" fillId="4" borderId="3" xfId="0" applyNumberFormat="1" applyFont="1" applyFill="1" applyBorder="1" applyAlignment="1">
      <alignment horizontal="center" vertical="center"/>
    </xf>
    <xf numFmtId="1" fontId="1" fillId="4" borderId="3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609599</xdr:colOff>
      <xdr:row>1</xdr:row>
      <xdr:rowOff>0</xdr:rowOff>
    </xdr:from>
    <xdr:to>
      <xdr:col>22</xdr:col>
      <xdr:colOff>561974</xdr:colOff>
      <xdr:row>27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8615D03-8DE3-5C5B-6744-A8B2BBCAC3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599" y="190500"/>
          <a:ext cx="13363575" cy="5038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94FF"/>
  </sheetPr>
  <dimension ref="A1:I189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I12" sqref="I12"/>
    </sheetView>
  </sheetViews>
  <sheetFormatPr defaultRowHeight="14.4"/>
  <cols>
    <col min="1" max="1" width="21" customWidth="1"/>
    <col min="2" max="3" width="20" customWidth="1"/>
    <col min="4" max="5" width="19" customWidth="1"/>
    <col min="6" max="6" width="22" customWidth="1"/>
    <col min="9" max="9" width="39.6640625" customWidth="1"/>
  </cols>
  <sheetData>
    <row r="1" spans="1:9" ht="30" customHeight="1">
      <c r="A1" s="30" t="s">
        <v>0</v>
      </c>
      <c r="B1" s="30" t="s">
        <v>1</v>
      </c>
      <c r="C1" s="30"/>
      <c r="D1" s="30"/>
      <c r="E1" s="30"/>
      <c r="F1" s="30"/>
    </row>
    <row r="2" spans="1:9" ht="18" customHeight="1">
      <c r="A2" s="30"/>
      <c r="B2" s="1" t="s">
        <v>2</v>
      </c>
      <c r="C2" s="1" t="s">
        <v>193</v>
      </c>
      <c r="D2" s="1" t="s">
        <v>3</v>
      </c>
      <c r="E2" s="1" t="s">
        <v>194</v>
      </c>
      <c r="F2" s="1" t="s">
        <v>4</v>
      </c>
    </row>
    <row r="3" spans="1:9" ht="18" customHeight="1">
      <c r="A3" s="2" t="s">
        <v>5</v>
      </c>
      <c r="B3" s="3">
        <v>2.2000000000000002</v>
      </c>
      <c r="C3" s="3">
        <f>(B3*3.6)</f>
        <v>7.9200000000000008</v>
      </c>
      <c r="D3" s="3">
        <v>5.0999999999999996</v>
      </c>
      <c r="E3" s="3">
        <f>(D3*3.6)</f>
        <v>18.36</v>
      </c>
      <c r="F3" s="4">
        <v>159</v>
      </c>
    </row>
    <row r="4" spans="1:9" ht="18" customHeight="1">
      <c r="A4" s="2" t="s">
        <v>6</v>
      </c>
      <c r="B4" s="3">
        <v>2.8</v>
      </c>
      <c r="C4" s="3">
        <f t="shared" ref="C4:C67" si="0">(B4*3.6)</f>
        <v>10.08</v>
      </c>
      <c r="D4" s="3">
        <v>8.1999999999999993</v>
      </c>
      <c r="E4" s="3">
        <f t="shared" ref="E4:E67" si="1">(D4*3.6)</f>
        <v>29.52</v>
      </c>
      <c r="F4" s="4">
        <v>118</v>
      </c>
    </row>
    <row r="5" spans="1:9" ht="18" customHeight="1">
      <c r="A5" s="2" t="s">
        <v>7</v>
      </c>
      <c r="B5" s="3">
        <v>3.5</v>
      </c>
      <c r="C5" s="3">
        <f t="shared" si="0"/>
        <v>12.6</v>
      </c>
      <c r="D5" s="3">
        <v>8.6999999999999993</v>
      </c>
      <c r="E5" s="3">
        <f t="shared" si="1"/>
        <v>31.319999999999997</v>
      </c>
      <c r="F5" s="4">
        <v>107</v>
      </c>
      <c r="I5" s="16" t="s">
        <v>199</v>
      </c>
    </row>
    <row r="6" spans="1:9" ht="18" customHeight="1">
      <c r="A6" s="2" t="s">
        <v>8</v>
      </c>
      <c r="B6" s="3">
        <v>2.9</v>
      </c>
      <c r="C6" s="3">
        <f t="shared" si="0"/>
        <v>10.44</v>
      </c>
      <c r="D6" s="3">
        <v>6.6</v>
      </c>
      <c r="E6" s="3">
        <f t="shared" si="1"/>
        <v>23.759999999999998</v>
      </c>
      <c r="F6" s="4">
        <v>97</v>
      </c>
      <c r="I6" s="16" t="s">
        <v>200</v>
      </c>
    </row>
    <row r="7" spans="1:9" ht="18" customHeight="1">
      <c r="A7" s="2" t="s">
        <v>9</v>
      </c>
      <c r="B7" s="3">
        <v>1.1000000000000001</v>
      </c>
      <c r="C7" s="3">
        <f t="shared" si="0"/>
        <v>3.9600000000000004</v>
      </c>
      <c r="D7" s="3">
        <v>4.5999999999999996</v>
      </c>
      <c r="E7" s="3">
        <f t="shared" si="1"/>
        <v>16.559999999999999</v>
      </c>
      <c r="F7" s="4">
        <v>101</v>
      </c>
      <c r="I7" s="26" t="s">
        <v>201</v>
      </c>
    </row>
    <row r="8" spans="1:9" ht="18" customHeight="1">
      <c r="A8" s="2" t="s">
        <v>10</v>
      </c>
      <c r="B8" s="3">
        <v>1.2</v>
      </c>
      <c r="C8" s="3">
        <f t="shared" si="0"/>
        <v>4.32</v>
      </c>
      <c r="D8" s="3">
        <v>3.1</v>
      </c>
      <c r="E8" s="3">
        <f t="shared" si="1"/>
        <v>11.16</v>
      </c>
      <c r="F8" s="4">
        <v>109</v>
      </c>
      <c r="I8" s="15" t="s">
        <v>202</v>
      </c>
    </row>
    <row r="9" spans="1:9" ht="18" customHeight="1">
      <c r="A9" s="2" t="s">
        <v>11</v>
      </c>
      <c r="B9" s="3">
        <v>1.2</v>
      </c>
      <c r="C9" s="3">
        <f t="shared" si="0"/>
        <v>4.32</v>
      </c>
      <c r="D9" s="3">
        <v>3.1</v>
      </c>
      <c r="E9" s="3">
        <f t="shared" si="1"/>
        <v>11.16</v>
      </c>
      <c r="F9" s="4">
        <v>69</v>
      </c>
    </row>
    <row r="10" spans="1:9" ht="18" customHeight="1">
      <c r="A10" s="2" t="s">
        <v>12</v>
      </c>
      <c r="B10" s="3">
        <v>0.8</v>
      </c>
      <c r="C10" s="3">
        <f t="shared" si="0"/>
        <v>2.8800000000000003</v>
      </c>
      <c r="D10" s="3">
        <v>2.6</v>
      </c>
      <c r="E10" s="3">
        <f t="shared" si="1"/>
        <v>9.3600000000000012</v>
      </c>
      <c r="F10" s="4">
        <v>49</v>
      </c>
    </row>
    <row r="11" spans="1:9" ht="18" customHeight="1">
      <c r="A11" s="2" t="s">
        <v>13</v>
      </c>
      <c r="B11" s="3">
        <v>1.3</v>
      </c>
      <c r="C11" s="3">
        <f t="shared" si="0"/>
        <v>4.6800000000000006</v>
      </c>
      <c r="D11" s="3">
        <v>3.6</v>
      </c>
      <c r="E11" s="3">
        <f t="shared" si="1"/>
        <v>12.96</v>
      </c>
      <c r="F11" s="4">
        <v>276</v>
      </c>
    </row>
    <row r="12" spans="1:9" ht="18" customHeight="1">
      <c r="A12" s="2" t="s">
        <v>14</v>
      </c>
      <c r="B12" s="3">
        <v>4.0999999999999996</v>
      </c>
      <c r="C12" s="3">
        <f t="shared" si="0"/>
        <v>14.76</v>
      </c>
      <c r="D12" s="3">
        <v>8.1999999999999993</v>
      </c>
      <c r="E12" s="3">
        <f t="shared" si="1"/>
        <v>29.52</v>
      </c>
      <c r="F12" s="4">
        <v>176</v>
      </c>
    </row>
    <row r="13" spans="1:9" ht="18" customHeight="1">
      <c r="A13" s="2" t="s">
        <v>15</v>
      </c>
      <c r="B13" s="3">
        <v>2.9</v>
      </c>
      <c r="C13" s="3">
        <f t="shared" si="0"/>
        <v>10.44</v>
      </c>
      <c r="D13" s="3">
        <v>8.1999999999999993</v>
      </c>
      <c r="E13" s="3">
        <f t="shared" si="1"/>
        <v>29.52</v>
      </c>
      <c r="F13" s="4">
        <v>166</v>
      </c>
    </row>
    <row r="14" spans="1:9" ht="18" customHeight="1">
      <c r="A14" s="2" t="s">
        <v>16</v>
      </c>
      <c r="B14" s="3">
        <v>3.8</v>
      </c>
      <c r="C14" s="3">
        <f t="shared" si="0"/>
        <v>13.68</v>
      </c>
      <c r="D14" s="3">
        <v>8.6999999999999993</v>
      </c>
      <c r="E14" s="3">
        <f t="shared" si="1"/>
        <v>31.319999999999997</v>
      </c>
      <c r="F14" s="4">
        <v>174</v>
      </c>
    </row>
    <row r="15" spans="1:9" ht="18" customHeight="1">
      <c r="A15" s="20" t="s">
        <v>17</v>
      </c>
      <c r="B15" s="21">
        <v>3</v>
      </c>
      <c r="C15" s="21">
        <f t="shared" si="0"/>
        <v>10.8</v>
      </c>
      <c r="D15" s="21">
        <v>9.1999999999999993</v>
      </c>
      <c r="E15" s="21">
        <f t="shared" si="1"/>
        <v>33.119999999999997</v>
      </c>
      <c r="F15" s="22">
        <v>154</v>
      </c>
      <c r="G15" s="26" t="s">
        <v>188</v>
      </c>
    </row>
    <row r="16" spans="1:9" ht="18" customHeight="1">
      <c r="A16" s="2" t="s">
        <v>18</v>
      </c>
      <c r="B16" s="3">
        <v>2.9</v>
      </c>
      <c r="C16" s="3">
        <f t="shared" si="0"/>
        <v>10.44</v>
      </c>
      <c r="D16" s="3">
        <v>8.1999999999999993</v>
      </c>
      <c r="E16" s="3">
        <f t="shared" si="1"/>
        <v>29.52</v>
      </c>
      <c r="F16" s="4">
        <v>137</v>
      </c>
    </row>
    <row r="17" spans="1:7" ht="18" customHeight="1">
      <c r="A17" s="23" t="s">
        <v>19</v>
      </c>
      <c r="B17" s="24">
        <v>4.5</v>
      </c>
      <c r="C17" s="24">
        <f t="shared" si="0"/>
        <v>16.2</v>
      </c>
      <c r="D17" s="24">
        <v>9.6999999999999993</v>
      </c>
      <c r="E17" s="24">
        <f t="shared" si="1"/>
        <v>34.92</v>
      </c>
      <c r="F17" s="25">
        <v>161</v>
      </c>
      <c r="G17" s="26" t="s">
        <v>188</v>
      </c>
    </row>
    <row r="18" spans="1:7" ht="18" customHeight="1">
      <c r="A18" s="12">
        <v>45202.583333333336</v>
      </c>
      <c r="B18" s="5">
        <v>5.4</v>
      </c>
      <c r="C18" s="5">
        <f t="shared" si="0"/>
        <v>19.440000000000001</v>
      </c>
      <c r="D18" s="5">
        <v>11.7</v>
      </c>
      <c r="E18" s="5">
        <f t="shared" si="1"/>
        <v>42.12</v>
      </c>
      <c r="F18" s="13">
        <v>159</v>
      </c>
      <c r="G18" s="15" t="s">
        <v>188</v>
      </c>
    </row>
    <row r="19" spans="1:7" ht="18" customHeight="1">
      <c r="A19" s="14" t="s">
        <v>20</v>
      </c>
      <c r="B19" s="5">
        <v>4.8</v>
      </c>
      <c r="C19" s="5">
        <f t="shared" si="0"/>
        <v>17.28</v>
      </c>
      <c r="D19" s="5">
        <v>12.8</v>
      </c>
      <c r="E19" s="5">
        <f t="shared" si="1"/>
        <v>46.080000000000005</v>
      </c>
      <c r="F19" s="13">
        <v>141</v>
      </c>
      <c r="G19" s="15" t="s">
        <v>189</v>
      </c>
    </row>
    <row r="20" spans="1:7" ht="18" customHeight="1">
      <c r="A20" s="9" t="s">
        <v>21</v>
      </c>
      <c r="B20" s="10">
        <v>3</v>
      </c>
      <c r="C20" s="10">
        <f t="shared" si="0"/>
        <v>10.8</v>
      </c>
      <c r="D20" s="10">
        <v>8.1999999999999993</v>
      </c>
      <c r="E20" s="10">
        <f t="shared" si="1"/>
        <v>29.52</v>
      </c>
      <c r="F20" s="11">
        <v>106</v>
      </c>
    </row>
    <row r="21" spans="1:7" ht="18" customHeight="1">
      <c r="A21" s="2" t="s">
        <v>22</v>
      </c>
      <c r="B21" s="3">
        <v>0.7</v>
      </c>
      <c r="C21" s="3">
        <f t="shared" si="0"/>
        <v>2.52</v>
      </c>
      <c r="D21" s="3">
        <v>4.0999999999999996</v>
      </c>
      <c r="E21" s="3">
        <f t="shared" si="1"/>
        <v>14.76</v>
      </c>
      <c r="F21" s="4">
        <v>78</v>
      </c>
    </row>
    <row r="22" spans="1:7" ht="18" customHeight="1">
      <c r="A22" s="2" t="s">
        <v>23</v>
      </c>
      <c r="B22" s="3">
        <v>0.6</v>
      </c>
      <c r="C22" s="3">
        <f t="shared" si="0"/>
        <v>2.16</v>
      </c>
      <c r="D22" s="3">
        <v>2</v>
      </c>
      <c r="E22" s="3">
        <f t="shared" si="1"/>
        <v>7.2</v>
      </c>
      <c r="F22" s="4">
        <v>52</v>
      </c>
    </row>
    <row r="23" spans="1:7" ht="18" customHeight="1">
      <c r="A23" s="2" t="s">
        <v>24</v>
      </c>
      <c r="B23" s="3">
        <v>0.9</v>
      </c>
      <c r="C23" s="3">
        <f t="shared" si="0"/>
        <v>3.24</v>
      </c>
      <c r="D23" s="3">
        <v>4.5999999999999996</v>
      </c>
      <c r="E23" s="3">
        <f t="shared" si="1"/>
        <v>16.559999999999999</v>
      </c>
      <c r="F23" s="4">
        <v>322</v>
      </c>
    </row>
    <row r="24" spans="1:7" ht="18" customHeight="1">
      <c r="A24" s="2" t="s">
        <v>25</v>
      </c>
      <c r="B24" s="3">
        <v>0.7</v>
      </c>
      <c r="C24" s="3">
        <f t="shared" si="0"/>
        <v>2.52</v>
      </c>
      <c r="D24" s="3">
        <v>2.6</v>
      </c>
      <c r="E24" s="3">
        <f t="shared" si="1"/>
        <v>9.3600000000000012</v>
      </c>
      <c r="F24" s="4">
        <v>257</v>
      </c>
    </row>
    <row r="25" spans="1:7" ht="18" customHeight="1">
      <c r="A25" s="2" t="s">
        <v>26</v>
      </c>
      <c r="B25" s="3">
        <v>1.1000000000000001</v>
      </c>
      <c r="C25" s="3">
        <f t="shared" si="0"/>
        <v>3.9600000000000004</v>
      </c>
      <c r="D25" s="3">
        <v>6.1</v>
      </c>
      <c r="E25" s="3">
        <f t="shared" si="1"/>
        <v>21.96</v>
      </c>
      <c r="F25" s="4">
        <v>25</v>
      </c>
    </row>
    <row r="26" spans="1:7" ht="18" customHeight="1">
      <c r="A26" s="2" t="s">
        <v>27</v>
      </c>
      <c r="B26" s="3">
        <v>0.8</v>
      </c>
      <c r="C26" s="3">
        <f t="shared" si="0"/>
        <v>2.8800000000000003</v>
      </c>
      <c r="D26" s="3">
        <v>3.1</v>
      </c>
      <c r="E26" s="3">
        <f t="shared" si="1"/>
        <v>11.16</v>
      </c>
      <c r="F26" s="4">
        <v>337</v>
      </c>
    </row>
    <row r="27" spans="1:7" ht="18" customHeight="1">
      <c r="A27" s="2" t="s">
        <v>28</v>
      </c>
      <c r="B27" s="3">
        <v>2.8</v>
      </c>
      <c r="C27" s="3">
        <f t="shared" si="0"/>
        <v>10.08</v>
      </c>
      <c r="D27" s="3">
        <v>5.0999999999999996</v>
      </c>
      <c r="E27" s="3">
        <f t="shared" si="1"/>
        <v>18.36</v>
      </c>
      <c r="F27" s="4">
        <v>347</v>
      </c>
    </row>
    <row r="28" spans="1:7" ht="18" customHeight="1">
      <c r="A28" s="2" t="s">
        <v>29</v>
      </c>
      <c r="B28" s="3">
        <v>1.6</v>
      </c>
      <c r="C28" s="3">
        <f t="shared" si="0"/>
        <v>5.7600000000000007</v>
      </c>
      <c r="D28" s="3">
        <v>3.6</v>
      </c>
      <c r="E28" s="3">
        <f t="shared" si="1"/>
        <v>12.96</v>
      </c>
      <c r="F28" s="4">
        <v>19</v>
      </c>
    </row>
    <row r="29" spans="1:7" ht="18" customHeight="1">
      <c r="A29" s="6" t="s">
        <v>30</v>
      </c>
      <c r="B29" s="7">
        <v>1</v>
      </c>
      <c r="C29" s="7">
        <f t="shared" si="0"/>
        <v>3.6</v>
      </c>
      <c r="D29" s="7">
        <v>4.0999999999999996</v>
      </c>
      <c r="E29" s="7">
        <f t="shared" si="1"/>
        <v>14.76</v>
      </c>
      <c r="F29" s="8">
        <v>300</v>
      </c>
    </row>
    <row r="30" spans="1:7" ht="18" customHeight="1">
      <c r="A30" s="14" t="s">
        <v>31</v>
      </c>
      <c r="B30" s="5">
        <v>4.0999999999999996</v>
      </c>
      <c r="C30" s="5">
        <f t="shared" si="0"/>
        <v>14.76</v>
      </c>
      <c r="D30" s="5">
        <v>12.2</v>
      </c>
      <c r="E30" s="5">
        <f t="shared" si="1"/>
        <v>43.92</v>
      </c>
      <c r="F30" s="13">
        <v>146</v>
      </c>
      <c r="G30" s="15" t="s">
        <v>189</v>
      </c>
    </row>
    <row r="31" spans="1:7" ht="18" customHeight="1">
      <c r="A31" s="14" t="s">
        <v>32</v>
      </c>
      <c r="B31" s="5">
        <v>6.8</v>
      </c>
      <c r="C31" s="5">
        <f t="shared" si="0"/>
        <v>24.48</v>
      </c>
      <c r="D31" s="5">
        <v>14.8</v>
      </c>
      <c r="E31" s="5">
        <f t="shared" si="1"/>
        <v>53.28</v>
      </c>
      <c r="F31" s="13">
        <v>110</v>
      </c>
      <c r="G31" s="15" t="s">
        <v>190</v>
      </c>
    </row>
    <row r="32" spans="1:7" ht="18" customHeight="1">
      <c r="A32" s="14" t="s">
        <v>33</v>
      </c>
      <c r="B32" s="5">
        <v>2.9</v>
      </c>
      <c r="C32" s="5">
        <f t="shared" si="0"/>
        <v>10.44</v>
      </c>
      <c r="D32" s="5">
        <v>11.7</v>
      </c>
      <c r="E32" s="5">
        <f t="shared" si="1"/>
        <v>42.12</v>
      </c>
      <c r="F32" s="13">
        <v>109</v>
      </c>
      <c r="G32" s="15" t="s">
        <v>190</v>
      </c>
    </row>
    <row r="33" spans="1:7" ht="18" customHeight="1">
      <c r="A33" s="14" t="s">
        <v>34</v>
      </c>
      <c r="B33" s="5">
        <v>4</v>
      </c>
      <c r="C33" s="5">
        <f t="shared" si="0"/>
        <v>14.4</v>
      </c>
      <c r="D33" s="5">
        <v>12.8</v>
      </c>
      <c r="E33" s="5">
        <f t="shared" si="1"/>
        <v>46.080000000000005</v>
      </c>
      <c r="F33" s="13">
        <v>105</v>
      </c>
      <c r="G33" s="15" t="s">
        <v>190</v>
      </c>
    </row>
    <row r="34" spans="1:7" ht="18" customHeight="1">
      <c r="A34" s="14" t="s">
        <v>35</v>
      </c>
      <c r="B34" s="5">
        <v>6.6</v>
      </c>
      <c r="C34" s="5">
        <f t="shared" si="0"/>
        <v>23.759999999999998</v>
      </c>
      <c r="D34" s="5">
        <v>16.3</v>
      </c>
      <c r="E34" s="5">
        <f t="shared" si="1"/>
        <v>58.680000000000007</v>
      </c>
      <c r="F34" s="13">
        <v>113</v>
      </c>
      <c r="G34" s="15" t="s">
        <v>190</v>
      </c>
    </row>
    <row r="35" spans="1:7" ht="18" customHeight="1">
      <c r="A35" s="14" t="s">
        <v>36</v>
      </c>
      <c r="B35" s="5">
        <v>8</v>
      </c>
      <c r="C35" s="5">
        <f t="shared" si="0"/>
        <v>28.8</v>
      </c>
      <c r="D35" s="5">
        <v>17.3</v>
      </c>
      <c r="E35" s="5">
        <f t="shared" si="1"/>
        <v>62.28</v>
      </c>
      <c r="F35" s="13">
        <v>138</v>
      </c>
      <c r="G35" s="15" t="s">
        <v>189</v>
      </c>
    </row>
    <row r="36" spans="1:7" ht="18" customHeight="1">
      <c r="A36" s="14" t="s">
        <v>37</v>
      </c>
      <c r="B36" s="5">
        <v>8.1</v>
      </c>
      <c r="C36" s="5">
        <f t="shared" si="0"/>
        <v>29.16</v>
      </c>
      <c r="D36" s="5">
        <v>15.8</v>
      </c>
      <c r="E36" s="5">
        <f t="shared" si="1"/>
        <v>56.88</v>
      </c>
      <c r="F36" s="13">
        <v>160</v>
      </c>
      <c r="G36" s="15" t="s">
        <v>188</v>
      </c>
    </row>
    <row r="37" spans="1:7" ht="18" customHeight="1">
      <c r="A37" s="14" t="s">
        <v>38</v>
      </c>
      <c r="B37" s="5">
        <v>8.1</v>
      </c>
      <c r="C37" s="5">
        <f t="shared" si="0"/>
        <v>29.16</v>
      </c>
      <c r="D37" s="5">
        <v>15.3</v>
      </c>
      <c r="E37" s="5">
        <f t="shared" si="1"/>
        <v>55.080000000000005</v>
      </c>
      <c r="F37" s="13">
        <v>148</v>
      </c>
      <c r="G37" s="15" t="s">
        <v>188</v>
      </c>
    </row>
    <row r="38" spans="1:7" ht="18" customHeight="1">
      <c r="A38" s="14" t="s">
        <v>39</v>
      </c>
      <c r="B38" s="5">
        <v>7.5</v>
      </c>
      <c r="C38" s="5">
        <f t="shared" si="0"/>
        <v>27</v>
      </c>
      <c r="D38" s="5">
        <v>16.3</v>
      </c>
      <c r="E38" s="5">
        <f t="shared" si="1"/>
        <v>58.680000000000007</v>
      </c>
      <c r="F38" s="13">
        <v>124</v>
      </c>
      <c r="G38" s="15" t="s">
        <v>189</v>
      </c>
    </row>
    <row r="39" spans="1:7" ht="18" customHeight="1">
      <c r="A39" s="14" t="s">
        <v>40</v>
      </c>
      <c r="B39" s="5">
        <v>6.8</v>
      </c>
      <c r="C39" s="5">
        <f t="shared" si="0"/>
        <v>24.48</v>
      </c>
      <c r="D39" s="5">
        <v>13.8</v>
      </c>
      <c r="E39" s="5">
        <f t="shared" si="1"/>
        <v>49.680000000000007</v>
      </c>
      <c r="F39" s="13">
        <v>140</v>
      </c>
      <c r="G39" s="15" t="s">
        <v>189</v>
      </c>
    </row>
    <row r="40" spans="1:7" ht="18" customHeight="1">
      <c r="A40" s="14" t="s">
        <v>41</v>
      </c>
      <c r="B40" s="5">
        <v>5.6</v>
      </c>
      <c r="C40" s="5">
        <f t="shared" si="0"/>
        <v>20.16</v>
      </c>
      <c r="D40" s="5">
        <v>11.7</v>
      </c>
      <c r="E40" s="5">
        <f t="shared" si="1"/>
        <v>42.12</v>
      </c>
      <c r="F40" s="13">
        <v>130</v>
      </c>
      <c r="G40" s="15" t="s">
        <v>189</v>
      </c>
    </row>
    <row r="41" spans="1:7" ht="18" customHeight="1">
      <c r="A41" s="14" t="s">
        <v>42</v>
      </c>
      <c r="B41" s="5">
        <v>7.3</v>
      </c>
      <c r="C41" s="5">
        <f t="shared" si="0"/>
        <v>26.28</v>
      </c>
      <c r="D41" s="5">
        <v>15.3</v>
      </c>
      <c r="E41" s="5">
        <f t="shared" si="1"/>
        <v>55.080000000000005</v>
      </c>
      <c r="F41" s="13">
        <v>147</v>
      </c>
      <c r="G41" s="15" t="s">
        <v>188</v>
      </c>
    </row>
    <row r="42" spans="1:7" ht="18" customHeight="1">
      <c r="A42" s="14" t="s">
        <v>43</v>
      </c>
      <c r="B42" s="5">
        <v>7.7</v>
      </c>
      <c r="C42" s="5">
        <f t="shared" si="0"/>
        <v>27.720000000000002</v>
      </c>
      <c r="D42" s="5">
        <v>15.8</v>
      </c>
      <c r="E42" s="5">
        <f t="shared" si="1"/>
        <v>56.88</v>
      </c>
      <c r="F42" s="13">
        <v>143</v>
      </c>
      <c r="G42" s="15" t="s">
        <v>189</v>
      </c>
    </row>
    <row r="43" spans="1:7" ht="18" customHeight="1">
      <c r="A43" s="14" t="s">
        <v>44</v>
      </c>
      <c r="B43" s="5">
        <v>5.0999999999999996</v>
      </c>
      <c r="C43" s="5">
        <f t="shared" si="0"/>
        <v>18.36</v>
      </c>
      <c r="D43" s="5">
        <v>14.3</v>
      </c>
      <c r="E43" s="5">
        <f t="shared" si="1"/>
        <v>51.480000000000004</v>
      </c>
      <c r="F43" s="13">
        <v>131</v>
      </c>
      <c r="G43" s="15" t="s">
        <v>189</v>
      </c>
    </row>
    <row r="44" spans="1:7" ht="18" customHeight="1">
      <c r="A44" s="14" t="s">
        <v>45</v>
      </c>
      <c r="B44" s="5">
        <v>4.5999999999999996</v>
      </c>
      <c r="C44" s="5">
        <f t="shared" si="0"/>
        <v>16.559999999999999</v>
      </c>
      <c r="D44" s="5">
        <v>11.7</v>
      </c>
      <c r="E44" s="5">
        <f t="shared" si="1"/>
        <v>42.12</v>
      </c>
      <c r="F44" s="13">
        <v>122</v>
      </c>
      <c r="G44" s="15" t="s">
        <v>190</v>
      </c>
    </row>
    <row r="45" spans="1:7" ht="18" customHeight="1">
      <c r="A45" s="14" t="s">
        <v>46</v>
      </c>
      <c r="B45" s="5">
        <v>6.3</v>
      </c>
      <c r="C45" s="5">
        <f t="shared" si="0"/>
        <v>22.68</v>
      </c>
      <c r="D45" s="5">
        <v>13.8</v>
      </c>
      <c r="E45" s="5">
        <f t="shared" si="1"/>
        <v>49.680000000000007</v>
      </c>
      <c r="F45" s="13">
        <v>150</v>
      </c>
      <c r="G45" s="15" t="s">
        <v>188</v>
      </c>
    </row>
    <row r="46" spans="1:7" ht="18" customHeight="1">
      <c r="A46" s="14" t="s">
        <v>47</v>
      </c>
      <c r="B46" s="5">
        <v>6.6</v>
      </c>
      <c r="C46" s="5">
        <f t="shared" si="0"/>
        <v>23.759999999999998</v>
      </c>
      <c r="D46" s="5">
        <v>15.3</v>
      </c>
      <c r="E46" s="5">
        <f t="shared" si="1"/>
        <v>55.080000000000005</v>
      </c>
      <c r="F46" s="13">
        <v>129</v>
      </c>
      <c r="G46" s="15" t="s">
        <v>189</v>
      </c>
    </row>
    <row r="47" spans="1:7" ht="18" customHeight="1">
      <c r="A47" s="14" t="s">
        <v>48</v>
      </c>
      <c r="B47" s="5">
        <v>6.8</v>
      </c>
      <c r="C47" s="5">
        <f t="shared" si="0"/>
        <v>24.48</v>
      </c>
      <c r="D47" s="5">
        <v>14.3</v>
      </c>
      <c r="E47" s="5">
        <f t="shared" si="1"/>
        <v>51.480000000000004</v>
      </c>
      <c r="F47" s="13">
        <v>121</v>
      </c>
      <c r="G47" s="15" t="s">
        <v>190</v>
      </c>
    </row>
    <row r="48" spans="1:7" ht="18" customHeight="1">
      <c r="A48" s="14" t="s">
        <v>49</v>
      </c>
      <c r="B48" s="5">
        <v>7.6</v>
      </c>
      <c r="C48" s="5">
        <f t="shared" si="0"/>
        <v>27.36</v>
      </c>
      <c r="D48" s="5">
        <v>15.3</v>
      </c>
      <c r="E48" s="5">
        <f t="shared" si="1"/>
        <v>55.080000000000005</v>
      </c>
      <c r="F48" s="13">
        <v>127</v>
      </c>
      <c r="G48" s="15" t="s">
        <v>189</v>
      </c>
    </row>
    <row r="49" spans="1:7" ht="18" customHeight="1">
      <c r="A49" s="14" t="s">
        <v>50</v>
      </c>
      <c r="B49" s="5">
        <v>6.7</v>
      </c>
      <c r="C49" s="5">
        <f t="shared" si="0"/>
        <v>24.12</v>
      </c>
      <c r="D49" s="5">
        <v>14.3</v>
      </c>
      <c r="E49" s="5">
        <f t="shared" si="1"/>
        <v>51.480000000000004</v>
      </c>
      <c r="F49" s="13">
        <v>123</v>
      </c>
      <c r="G49" s="15" t="s">
        <v>190</v>
      </c>
    </row>
    <row r="50" spans="1:7" ht="18" customHeight="1">
      <c r="A50" s="14" t="s">
        <v>51</v>
      </c>
      <c r="B50" s="5">
        <v>4.5999999999999996</v>
      </c>
      <c r="C50" s="5">
        <f t="shared" si="0"/>
        <v>16.559999999999999</v>
      </c>
      <c r="D50" s="5">
        <v>12.2</v>
      </c>
      <c r="E50" s="5">
        <f t="shared" si="1"/>
        <v>43.92</v>
      </c>
      <c r="F50" s="13">
        <v>120</v>
      </c>
      <c r="G50" s="15" t="s">
        <v>190</v>
      </c>
    </row>
    <row r="51" spans="1:7" ht="18" customHeight="1">
      <c r="A51" s="20" t="s">
        <v>52</v>
      </c>
      <c r="B51" s="21">
        <v>3.6</v>
      </c>
      <c r="C51" s="21">
        <f t="shared" si="0"/>
        <v>12.96</v>
      </c>
      <c r="D51" s="21">
        <v>9.1999999999999993</v>
      </c>
      <c r="E51" s="21">
        <f t="shared" si="1"/>
        <v>33.119999999999997</v>
      </c>
      <c r="F51" s="22">
        <v>123</v>
      </c>
      <c r="G51" s="26" t="s">
        <v>190</v>
      </c>
    </row>
    <row r="52" spans="1:7" ht="18" customHeight="1">
      <c r="A52" s="14" t="s">
        <v>53</v>
      </c>
      <c r="B52" s="5">
        <v>4.5999999999999996</v>
      </c>
      <c r="C52" s="5">
        <f t="shared" si="0"/>
        <v>16.559999999999999</v>
      </c>
      <c r="D52" s="5">
        <v>12.2</v>
      </c>
      <c r="E52" s="5">
        <f t="shared" si="1"/>
        <v>43.92</v>
      </c>
      <c r="F52" s="13">
        <v>106</v>
      </c>
      <c r="G52" s="15" t="s">
        <v>190</v>
      </c>
    </row>
    <row r="53" spans="1:7" ht="18" customHeight="1">
      <c r="A53" s="14" t="s">
        <v>54</v>
      </c>
      <c r="B53" s="5">
        <v>4.5999999999999996</v>
      </c>
      <c r="C53" s="5">
        <f t="shared" si="0"/>
        <v>16.559999999999999</v>
      </c>
      <c r="D53" s="5">
        <v>11.2</v>
      </c>
      <c r="E53" s="5">
        <f t="shared" si="1"/>
        <v>40.32</v>
      </c>
      <c r="F53" s="13">
        <v>104</v>
      </c>
      <c r="G53" s="15" t="s">
        <v>190</v>
      </c>
    </row>
    <row r="54" spans="1:7" ht="18" customHeight="1">
      <c r="A54" s="14" t="s">
        <v>55</v>
      </c>
      <c r="B54" s="5">
        <v>6.9</v>
      </c>
      <c r="C54" s="5">
        <f t="shared" si="0"/>
        <v>24.840000000000003</v>
      </c>
      <c r="D54" s="5">
        <v>15.8</v>
      </c>
      <c r="E54" s="5">
        <f t="shared" si="1"/>
        <v>56.88</v>
      </c>
      <c r="F54" s="13">
        <v>122</v>
      </c>
      <c r="G54" s="15" t="s">
        <v>190</v>
      </c>
    </row>
    <row r="55" spans="1:7" ht="18" customHeight="1">
      <c r="A55" s="14" t="s">
        <v>56</v>
      </c>
      <c r="B55" s="5">
        <v>5</v>
      </c>
      <c r="C55" s="5">
        <f t="shared" si="0"/>
        <v>18</v>
      </c>
      <c r="D55" s="5">
        <v>14.3</v>
      </c>
      <c r="E55" s="5">
        <f t="shared" si="1"/>
        <v>51.480000000000004</v>
      </c>
      <c r="F55" s="13">
        <v>126</v>
      </c>
      <c r="G55" s="15" t="s">
        <v>189</v>
      </c>
    </row>
    <row r="56" spans="1:7" ht="18" customHeight="1">
      <c r="A56" s="27" t="s">
        <v>57</v>
      </c>
      <c r="B56" s="28">
        <v>3</v>
      </c>
      <c r="C56" s="28">
        <f t="shared" si="0"/>
        <v>10.8</v>
      </c>
      <c r="D56" s="28">
        <v>9.6999999999999993</v>
      </c>
      <c r="E56" s="28">
        <f t="shared" si="1"/>
        <v>34.92</v>
      </c>
      <c r="F56" s="29">
        <v>96</v>
      </c>
      <c r="G56" s="26" t="s">
        <v>192</v>
      </c>
    </row>
    <row r="57" spans="1:7" ht="18" customHeight="1">
      <c r="A57" s="2" t="s">
        <v>58</v>
      </c>
      <c r="B57" s="3">
        <v>2.9</v>
      </c>
      <c r="C57" s="3">
        <f t="shared" si="0"/>
        <v>10.44</v>
      </c>
      <c r="D57" s="3">
        <v>7.1</v>
      </c>
      <c r="E57" s="3">
        <f t="shared" si="1"/>
        <v>25.56</v>
      </c>
      <c r="F57" s="4">
        <v>99</v>
      </c>
    </row>
    <row r="58" spans="1:7" ht="18" customHeight="1">
      <c r="A58" s="2" t="s">
        <v>59</v>
      </c>
      <c r="B58" s="3">
        <v>2.8</v>
      </c>
      <c r="C58" s="3">
        <f t="shared" si="0"/>
        <v>10.08</v>
      </c>
      <c r="D58" s="3">
        <v>7.1</v>
      </c>
      <c r="E58" s="3">
        <f t="shared" si="1"/>
        <v>25.56</v>
      </c>
      <c r="F58" s="4">
        <v>95</v>
      </c>
    </row>
    <row r="59" spans="1:7" ht="18" customHeight="1">
      <c r="A59" s="2" t="s">
        <v>60</v>
      </c>
      <c r="B59" s="3">
        <v>2.7</v>
      </c>
      <c r="C59" s="3">
        <f t="shared" si="0"/>
        <v>9.7200000000000006</v>
      </c>
      <c r="D59" s="3">
        <v>8.1999999999999993</v>
      </c>
      <c r="E59" s="3">
        <f t="shared" si="1"/>
        <v>29.52</v>
      </c>
      <c r="F59" s="4">
        <v>85</v>
      </c>
    </row>
    <row r="60" spans="1:7" ht="18" customHeight="1">
      <c r="A60" s="2" t="s">
        <v>61</v>
      </c>
      <c r="B60" s="3">
        <v>1.9</v>
      </c>
      <c r="C60" s="3">
        <f t="shared" si="0"/>
        <v>6.84</v>
      </c>
      <c r="D60" s="3">
        <v>5.6</v>
      </c>
      <c r="E60" s="3">
        <f t="shared" si="1"/>
        <v>20.16</v>
      </c>
      <c r="F60" s="4">
        <v>98</v>
      </c>
    </row>
    <row r="61" spans="1:7" ht="18" customHeight="1">
      <c r="A61" s="2" t="s">
        <v>62</v>
      </c>
      <c r="B61" s="3">
        <v>1.4</v>
      </c>
      <c r="C61" s="3">
        <f t="shared" si="0"/>
        <v>5.04</v>
      </c>
      <c r="D61" s="3">
        <v>4.5999999999999996</v>
      </c>
      <c r="E61" s="3">
        <f t="shared" si="1"/>
        <v>16.559999999999999</v>
      </c>
      <c r="F61" s="4">
        <v>75</v>
      </c>
    </row>
    <row r="62" spans="1:7" ht="18" customHeight="1">
      <c r="A62" s="2" t="s">
        <v>63</v>
      </c>
      <c r="B62" s="3">
        <v>1.2</v>
      </c>
      <c r="C62" s="3">
        <f t="shared" si="0"/>
        <v>4.32</v>
      </c>
      <c r="D62" s="3">
        <v>3.1</v>
      </c>
      <c r="E62" s="3">
        <f t="shared" si="1"/>
        <v>11.16</v>
      </c>
      <c r="F62" s="4">
        <v>90</v>
      </c>
    </row>
    <row r="63" spans="1:7" ht="18" customHeight="1">
      <c r="A63" s="2" t="s">
        <v>64</v>
      </c>
      <c r="B63" s="3">
        <v>0.6</v>
      </c>
      <c r="C63" s="3">
        <f t="shared" si="0"/>
        <v>2.16</v>
      </c>
      <c r="D63" s="3">
        <v>2.6</v>
      </c>
      <c r="E63" s="3">
        <f t="shared" si="1"/>
        <v>9.3600000000000012</v>
      </c>
      <c r="F63" s="4">
        <v>93</v>
      </c>
    </row>
    <row r="64" spans="1:7" ht="18" customHeight="1">
      <c r="A64" s="2" t="s">
        <v>65</v>
      </c>
      <c r="B64" s="3">
        <v>1.1000000000000001</v>
      </c>
      <c r="C64" s="3">
        <f t="shared" si="0"/>
        <v>3.9600000000000004</v>
      </c>
      <c r="D64" s="3">
        <v>8.1999999999999993</v>
      </c>
      <c r="E64" s="3">
        <f t="shared" si="1"/>
        <v>29.52</v>
      </c>
      <c r="F64" s="4">
        <v>346</v>
      </c>
    </row>
    <row r="65" spans="1:7" ht="18" customHeight="1">
      <c r="A65" s="20" t="s">
        <v>66</v>
      </c>
      <c r="B65" s="21">
        <v>1.8</v>
      </c>
      <c r="C65" s="21">
        <f t="shared" si="0"/>
        <v>6.48</v>
      </c>
      <c r="D65" s="21">
        <v>9.1999999999999993</v>
      </c>
      <c r="E65" s="21">
        <f t="shared" si="1"/>
        <v>33.119999999999997</v>
      </c>
      <c r="F65" s="22">
        <v>326</v>
      </c>
      <c r="G65" s="26" t="s">
        <v>197</v>
      </c>
    </row>
    <row r="66" spans="1:7" ht="18" customHeight="1">
      <c r="A66" s="2" t="s">
        <v>67</v>
      </c>
      <c r="B66" s="3">
        <v>0.8</v>
      </c>
      <c r="C66" s="3">
        <f t="shared" si="0"/>
        <v>2.8800000000000003</v>
      </c>
      <c r="D66" s="3">
        <v>2.6</v>
      </c>
      <c r="E66" s="3">
        <f t="shared" si="1"/>
        <v>9.3600000000000012</v>
      </c>
      <c r="F66" s="4">
        <v>322</v>
      </c>
    </row>
    <row r="67" spans="1:7" ht="18" customHeight="1">
      <c r="A67" s="2" t="s">
        <v>68</v>
      </c>
      <c r="B67" s="3">
        <v>0.3</v>
      </c>
      <c r="C67" s="3">
        <f t="shared" si="0"/>
        <v>1.08</v>
      </c>
      <c r="D67" s="3">
        <v>2</v>
      </c>
      <c r="E67" s="3">
        <f t="shared" si="1"/>
        <v>7.2</v>
      </c>
      <c r="F67" s="4">
        <v>272</v>
      </c>
    </row>
    <row r="68" spans="1:7" ht="18" customHeight="1">
      <c r="A68" s="2" t="s">
        <v>69</v>
      </c>
      <c r="B68" s="3">
        <v>0.2</v>
      </c>
      <c r="C68" s="3">
        <f t="shared" ref="C68:C131" si="2">(B68*3.6)</f>
        <v>0.72000000000000008</v>
      </c>
      <c r="D68" s="3">
        <v>2</v>
      </c>
      <c r="E68" s="3">
        <f t="shared" ref="E68:E131" si="3">(D68*3.6)</f>
        <v>7.2</v>
      </c>
      <c r="F68" s="4">
        <v>346</v>
      </c>
    </row>
    <row r="69" spans="1:7" ht="18" customHeight="1">
      <c r="A69" s="2" t="s">
        <v>70</v>
      </c>
      <c r="B69" s="3">
        <v>0.8</v>
      </c>
      <c r="C69" s="3">
        <f t="shared" si="2"/>
        <v>2.8800000000000003</v>
      </c>
      <c r="D69" s="3">
        <v>3.1</v>
      </c>
      <c r="E69" s="3">
        <f t="shared" si="3"/>
        <v>11.16</v>
      </c>
      <c r="F69" s="4">
        <v>320</v>
      </c>
    </row>
    <row r="70" spans="1:7" ht="18" customHeight="1">
      <c r="A70" s="2" t="s">
        <v>71</v>
      </c>
      <c r="B70" s="3">
        <v>4</v>
      </c>
      <c r="C70" s="3">
        <f t="shared" si="2"/>
        <v>14.4</v>
      </c>
      <c r="D70" s="3">
        <v>8.1999999999999993</v>
      </c>
      <c r="E70" s="3">
        <f t="shared" si="3"/>
        <v>29.52</v>
      </c>
      <c r="F70" s="4">
        <v>347</v>
      </c>
    </row>
    <row r="71" spans="1:7" ht="18" customHeight="1">
      <c r="A71" s="2" t="s">
        <v>72</v>
      </c>
      <c r="B71" s="3">
        <v>2.1</v>
      </c>
      <c r="C71" s="3">
        <f t="shared" si="2"/>
        <v>7.5600000000000005</v>
      </c>
      <c r="D71" s="3">
        <v>6.1</v>
      </c>
      <c r="E71" s="3">
        <f t="shared" si="3"/>
        <v>21.96</v>
      </c>
      <c r="F71" s="4">
        <v>340</v>
      </c>
    </row>
    <row r="72" spans="1:7" ht="18" customHeight="1">
      <c r="A72" s="2" t="s">
        <v>73</v>
      </c>
      <c r="B72" s="3">
        <v>1.7</v>
      </c>
      <c r="C72" s="3">
        <f t="shared" si="2"/>
        <v>6.12</v>
      </c>
      <c r="D72" s="3">
        <v>6.1</v>
      </c>
      <c r="E72" s="3">
        <f t="shared" si="3"/>
        <v>21.96</v>
      </c>
      <c r="F72" s="4">
        <v>232</v>
      </c>
    </row>
    <row r="73" spans="1:7" ht="18" customHeight="1">
      <c r="A73" s="2" t="s">
        <v>74</v>
      </c>
      <c r="B73" s="3">
        <v>1.9</v>
      </c>
      <c r="C73" s="3">
        <f t="shared" si="2"/>
        <v>6.84</v>
      </c>
      <c r="D73" s="3">
        <v>5.0999999999999996</v>
      </c>
      <c r="E73" s="3">
        <f t="shared" si="3"/>
        <v>18.36</v>
      </c>
      <c r="F73" s="4">
        <v>177</v>
      </c>
    </row>
    <row r="74" spans="1:7" ht="18" customHeight="1">
      <c r="A74" s="2" t="s">
        <v>75</v>
      </c>
      <c r="B74" s="3">
        <v>0.6</v>
      </c>
      <c r="C74" s="3">
        <f t="shared" si="2"/>
        <v>2.16</v>
      </c>
      <c r="D74" s="3">
        <v>2.6</v>
      </c>
      <c r="E74" s="3">
        <f t="shared" si="3"/>
        <v>9.3600000000000012</v>
      </c>
      <c r="F74" s="4">
        <v>146</v>
      </c>
    </row>
    <row r="75" spans="1:7" ht="18" customHeight="1">
      <c r="A75" s="2" t="s">
        <v>76</v>
      </c>
      <c r="B75" s="3">
        <v>0.7</v>
      </c>
      <c r="C75" s="3">
        <f t="shared" si="2"/>
        <v>2.52</v>
      </c>
      <c r="D75" s="3">
        <v>2</v>
      </c>
      <c r="E75" s="3">
        <f t="shared" si="3"/>
        <v>7.2</v>
      </c>
      <c r="F75" s="4">
        <v>90</v>
      </c>
    </row>
    <row r="76" spans="1:7" ht="18" customHeight="1">
      <c r="A76" s="2" t="s">
        <v>77</v>
      </c>
      <c r="B76" s="3">
        <v>0.8</v>
      </c>
      <c r="C76" s="3">
        <f t="shared" si="2"/>
        <v>2.8800000000000003</v>
      </c>
      <c r="D76" s="3">
        <v>4.5999999999999996</v>
      </c>
      <c r="E76" s="3">
        <f t="shared" si="3"/>
        <v>16.559999999999999</v>
      </c>
      <c r="F76" s="4">
        <v>25</v>
      </c>
    </row>
    <row r="77" spans="1:7" ht="18" customHeight="1">
      <c r="A77" s="2" t="s">
        <v>78</v>
      </c>
      <c r="B77" s="3">
        <v>1.8</v>
      </c>
      <c r="C77" s="3">
        <f t="shared" si="2"/>
        <v>6.48</v>
      </c>
      <c r="D77" s="3">
        <v>6.1</v>
      </c>
      <c r="E77" s="3">
        <f t="shared" si="3"/>
        <v>21.96</v>
      </c>
      <c r="F77" s="4">
        <v>314</v>
      </c>
    </row>
    <row r="78" spans="1:7" ht="18" customHeight="1">
      <c r="A78" s="2" t="s">
        <v>79</v>
      </c>
      <c r="B78" s="3">
        <v>3.3</v>
      </c>
      <c r="C78" s="3">
        <f t="shared" si="2"/>
        <v>11.879999999999999</v>
      </c>
      <c r="D78" s="3">
        <v>8.6999999999999993</v>
      </c>
      <c r="E78" s="3">
        <f t="shared" si="3"/>
        <v>31.319999999999997</v>
      </c>
      <c r="F78" s="4">
        <v>191</v>
      </c>
    </row>
    <row r="79" spans="1:7" ht="18" customHeight="1">
      <c r="A79" s="20" t="s">
        <v>80</v>
      </c>
      <c r="B79" s="21">
        <v>4.7</v>
      </c>
      <c r="C79" s="21">
        <f t="shared" si="2"/>
        <v>16.920000000000002</v>
      </c>
      <c r="D79" s="21">
        <v>10.7</v>
      </c>
      <c r="E79" s="21">
        <f t="shared" si="3"/>
        <v>38.519999999999996</v>
      </c>
      <c r="F79" s="22">
        <v>131</v>
      </c>
      <c r="G79" s="26" t="s">
        <v>189</v>
      </c>
    </row>
    <row r="80" spans="1:7" ht="18" customHeight="1">
      <c r="A80" s="20" t="s">
        <v>81</v>
      </c>
      <c r="B80" s="21">
        <v>3</v>
      </c>
      <c r="C80" s="21">
        <f t="shared" si="2"/>
        <v>10.8</v>
      </c>
      <c r="D80" s="21">
        <v>9.6999999999999993</v>
      </c>
      <c r="E80" s="21">
        <f t="shared" si="3"/>
        <v>34.92</v>
      </c>
      <c r="F80" s="22">
        <v>106</v>
      </c>
      <c r="G80" s="26" t="s">
        <v>190</v>
      </c>
    </row>
    <row r="81" spans="1:7" ht="18" customHeight="1">
      <c r="A81" s="2" t="s">
        <v>82</v>
      </c>
      <c r="B81" s="3">
        <v>2.2000000000000002</v>
      </c>
      <c r="C81" s="3">
        <f t="shared" si="2"/>
        <v>7.9200000000000008</v>
      </c>
      <c r="D81" s="3">
        <v>7.1</v>
      </c>
      <c r="E81" s="3">
        <f t="shared" si="3"/>
        <v>25.56</v>
      </c>
      <c r="F81" s="4">
        <v>80</v>
      </c>
    </row>
    <row r="82" spans="1:7" ht="18" customHeight="1">
      <c r="A82" s="20" t="s">
        <v>83</v>
      </c>
      <c r="B82" s="21">
        <v>3.6</v>
      </c>
      <c r="C82" s="21">
        <f t="shared" si="2"/>
        <v>12.96</v>
      </c>
      <c r="D82" s="21">
        <v>10.7</v>
      </c>
      <c r="E82" s="21">
        <f t="shared" si="3"/>
        <v>38.519999999999996</v>
      </c>
      <c r="F82" s="22">
        <v>80</v>
      </c>
      <c r="G82" s="26" t="s">
        <v>192</v>
      </c>
    </row>
    <row r="83" spans="1:7" ht="18" customHeight="1">
      <c r="A83" s="23" t="s">
        <v>84</v>
      </c>
      <c r="B83" s="24">
        <v>4.2</v>
      </c>
      <c r="C83" s="24">
        <f t="shared" si="2"/>
        <v>15.120000000000001</v>
      </c>
      <c r="D83" s="24">
        <v>9.6999999999999993</v>
      </c>
      <c r="E83" s="24">
        <f t="shared" si="3"/>
        <v>34.92</v>
      </c>
      <c r="F83" s="25">
        <v>86</v>
      </c>
      <c r="G83" s="26" t="s">
        <v>192</v>
      </c>
    </row>
    <row r="84" spans="1:7" ht="18" customHeight="1">
      <c r="A84" s="14" t="s">
        <v>85</v>
      </c>
      <c r="B84" s="5">
        <v>4.9000000000000004</v>
      </c>
      <c r="C84" s="5">
        <f t="shared" si="2"/>
        <v>17.64</v>
      </c>
      <c r="D84" s="5">
        <v>13.3</v>
      </c>
      <c r="E84" s="5">
        <f t="shared" si="3"/>
        <v>47.88</v>
      </c>
      <c r="F84" s="13">
        <v>109</v>
      </c>
      <c r="G84" s="15" t="s">
        <v>190</v>
      </c>
    </row>
    <row r="85" spans="1:7" ht="18" customHeight="1">
      <c r="A85" s="14" t="s">
        <v>86</v>
      </c>
      <c r="B85" s="5">
        <v>5.3</v>
      </c>
      <c r="C85" s="5">
        <f t="shared" si="2"/>
        <v>19.079999999999998</v>
      </c>
      <c r="D85" s="5">
        <v>13.3</v>
      </c>
      <c r="E85" s="5">
        <f t="shared" si="3"/>
        <v>47.88</v>
      </c>
      <c r="F85" s="13">
        <v>104</v>
      </c>
      <c r="G85" s="15" t="s">
        <v>190</v>
      </c>
    </row>
    <row r="86" spans="1:7" ht="18" customHeight="1">
      <c r="A86" s="14" t="s">
        <v>87</v>
      </c>
      <c r="B86" s="5">
        <v>5.2</v>
      </c>
      <c r="C86" s="5">
        <f t="shared" si="2"/>
        <v>18.720000000000002</v>
      </c>
      <c r="D86" s="5">
        <v>12.2</v>
      </c>
      <c r="E86" s="5">
        <f t="shared" si="3"/>
        <v>43.92</v>
      </c>
      <c r="F86" s="13">
        <v>99</v>
      </c>
      <c r="G86" s="15" t="s">
        <v>191</v>
      </c>
    </row>
    <row r="87" spans="1:7" ht="18" customHeight="1">
      <c r="A87" s="14" t="s">
        <v>88</v>
      </c>
      <c r="B87" s="5">
        <v>4.0999999999999996</v>
      </c>
      <c r="C87" s="5">
        <f t="shared" si="2"/>
        <v>14.76</v>
      </c>
      <c r="D87" s="5">
        <v>11.2</v>
      </c>
      <c r="E87" s="5">
        <f t="shared" si="3"/>
        <v>40.32</v>
      </c>
      <c r="F87" s="13">
        <v>112</v>
      </c>
      <c r="G87" s="15" t="s">
        <v>190</v>
      </c>
    </row>
    <row r="88" spans="1:7" ht="18" customHeight="1">
      <c r="A88" s="14" t="s">
        <v>89</v>
      </c>
      <c r="B88" s="5">
        <v>5.7</v>
      </c>
      <c r="C88" s="5">
        <f t="shared" si="2"/>
        <v>20.52</v>
      </c>
      <c r="D88" s="5">
        <v>13.3</v>
      </c>
      <c r="E88" s="5">
        <f t="shared" si="3"/>
        <v>47.88</v>
      </c>
      <c r="F88" s="13">
        <v>132</v>
      </c>
      <c r="G88" s="15" t="s">
        <v>189</v>
      </c>
    </row>
    <row r="89" spans="1:7" ht="18" customHeight="1">
      <c r="A89" s="14" t="s">
        <v>90</v>
      </c>
      <c r="B89" s="5">
        <v>5.2</v>
      </c>
      <c r="C89" s="5">
        <f t="shared" si="2"/>
        <v>18.720000000000002</v>
      </c>
      <c r="D89" s="5">
        <v>13.8</v>
      </c>
      <c r="E89" s="5">
        <f t="shared" si="3"/>
        <v>49.680000000000007</v>
      </c>
      <c r="F89" s="13">
        <v>97</v>
      </c>
      <c r="G89" s="15" t="s">
        <v>192</v>
      </c>
    </row>
    <row r="90" spans="1:7" ht="18" customHeight="1">
      <c r="A90" s="14" t="s">
        <v>91</v>
      </c>
      <c r="B90" s="5">
        <v>6.1</v>
      </c>
      <c r="C90" s="5">
        <f t="shared" si="2"/>
        <v>21.96</v>
      </c>
      <c r="D90" s="5">
        <v>14.8</v>
      </c>
      <c r="E90" s="5">
        <f t="shared" si="3"/>
        <v>53.28</v>
      </c>
      <c r="F90" s="13">
        <v>130</v>
      </c>
      <c r="G90" s="15" t="s">
        <v>189</v>
      </c>
    </row>
    <row r="91" spans="1:7" ht="18" customHeight="1">
      <c r="A91" s="14" t="s">
        <v>92</v>
      </c>
      <c r="B91" s="5">
        <v>6</v>
      </c>
      <c r="C91" s="5">
        <f t="shared" si="2"/>
        <v>21.6</v>
      </c>
      <c r="D91" s="5">
        <v>13.3</v>
      </c>
      <c r="E91" s="5">
        <f t="shared" si="3"/>
        <v>47.88</v>
      </c>
      <c r="F91" s="13">
        <v>129</v>
      </c>
      <c r="G91" s="15" t="s">
        <v>189</v>
      </c>
    </row>
    <row r="92" spans="1:7" ht="18" customHeight="1">
      <c r="A92" s="14" t="s">
        <v>93</v>
      </c>
      <c r="B92" s="5">
        <v>4.8</v>
      </c>
      <c r="C92" s="5">
        <f t="shared" si="2"/>
        <v>17.28</v>
      </c>
      <c r="D92" s="5">
        <v>12.8</v>
      </c>
      <c r="E92" s="5">
        <f t="shared" si="3"/>
        <v>46.080000000000005</v>
      </c>
      <c r="F92" s="13">
        <v>124</v>
      </c>
      <c r="G92" s="15" t="s">
        <v>189</v>
      </c>
    </row>
    <row r="93" spans="1:7" ht="18" customHeight="1">
      <c r="A93" s="14" t="s">
        <v>94</v>
      </c>
      <c r="B93" s="5">
        <v>3.5</v>
      </c>
      <c r="C93" s="5">
        <f t="shared" si="2"/>
        <v>12.6</v>
      </c>
      <c r="D93" s="5">
        <v>11.7</v>
      </c>
      <c r="E93" s="5">
        <f t="shared" si="3"/>
        <v>42.12</v>
      </c>
      <c r="F93" s="13">
        <v>119</v>
      </c>
      <c r="G93" s="15" t="s">
        <v>190</v>
      </c>
    </row>
    <row r="94" spans="1:7" ht="18" customHeight="1">
      <c r="A94" s="9" t="s">
        <v>95</v>
      </c>
      <c r="B94" s="10">
        <v>3.2</v>
      </c>
      <c r="C94" s="10">
        <f t="shared" si="2"/>
        <v>11.520000000000001</v>
      </c>
      <c r="D94" s="10">
        <v>8.1999999999999993</v>
      </c>
      <c r="E94" s="10">
        <f t="shared" si="3"/>
        <v>29.52</v>
      </c>
      <c r="F94" s="11">
        <v>94</v>
      </c>
    </row>
    <row r="95" spans="1:7" ht="18" customHeight="1">
      <c r="A95" s="20" t="s">
        <v>96</v>
      </c>
      <c r="B95" s="21">
        <v>4.0999999999999996</v>
      </c>
      <c r="C95" s="21">
        <f t="shared" si="2"/>
        <v>14.76</v>
      </c>
      <c r="D95" s="21">
        <v>10.7</v>
      </c>
      <c r="E95" s="21">
        <f t="shared" si="3"/>
        <v>38.519999999999996</v>
      </c>
      <c r="F95" s="22">
        <v>92</v>
      </c>
      <c r="G95" s="26" t="s">
        <v>192</v>
      </c>
    </row>
    <row r="96" spans="1:7" ht="18" customHeight="1">
      <c r="A96" s="14" t="s">
        <v>97</v>
      </c>
      <c r="B96" s="5">
        <v>4.3</v>
      </c>
      <c r="C96" s="5">
        <f t="shared" si="2"/>
        <v>15.48</v>
      </c>
      <c r="D96" s="5">
        <v>11.2</v>
      </c>
      <c r="E96" s="5">
        <f t="shared" si="3"/>
        <v>40.32</v>
      </c>
      <c r="F96" s="13">
        <v>113</v>
      </c>
      <c r="G96" s="15" t="s">
        <v>190</v>
      </c>
    </row>
    <row r="97" spans="1:7" ht="18" customHeight="1">
      <c r="A97" s="20" t="s">
        <v>98</v>
      </c>
      <c r="B97" s="21">
        <v>4.2</v>
      </c>
      <c r="C97" s="21">
        <f t="shared" si="2"/>
        <v>15.120000000000001</v>
      </c>
      <c r="D97" s="21">
        <v>10.7</v>
      </c>
      <c r="E97" s="21">
        <f t="shared" si="3"/>
        <v>38.519999999999996</v>
      </c>
      <c r="F97" s="22">
        <v>89</v>
      </c>
      <c r="G97" s="26" t="s">
        <v>192</v>
      </c>
    </row>
    <row r="98" spans="1:7" ht="18" customHeight="1">
      <c r="A98" s="2" t="s">
        <v>99</v>
      </c>
      <c r="B98" s="3">
        <v>3.2</v>
      </c>
      <c r="C98" s="3">
        <f t="shared" si="2"/>
        <v>11.520000000000001</v>
      </c>
      <c r="D98" s="3">
        <v>7.7</v>
      </c>
      <c r="E98" s="3">
        <f t="shared" si="3"/>
        <v>27.720000000000002</v>
      </c>
      <c r="F98" s="4">
        <v>88</v>
      </c>
    </row>
    <row r="99" spans="1:7" ht="18" customHeight="1">
      <c r="A99" s="2" t="s">
        <v>100</v>
      </c>
      <c r="B99" s="3">
        <v>0.5</v>
      </c>
      <c r="C99" s="3">
        <f t="shared" si="2"/>
        <v>1.8</v>
      </c>
      <c r="D99" s="3">
        <v>2.6</v>
      </c>
      <c r="E99" s="3">
        <f t="shared" si="3"/>
        <v>9.3600000000000012</v>
      </c>
      <c r="F99" s="4">
        <v>132</v>
      </c>
    </row>
    <row r="100" spans="1:7" ht="18" customHeight="1">
      <c r="A100" s="2" t="s">
        <v>101</v>
      </c>
      <c r="B100" s="3">
        <v>0.6</v>
      </c>
      <c r="C100" s="3">
        <f t="shared" si="2"/>
        <v>2.16</v>
      </c>
      <c r="D100" s="3">
        <v>1.5</v>
      </c>
      <c r="E100" s="3">
        <f t="shared" si="3"/>
        <v>5.4</v>
      </c>
      <c r="F100" s="4">
        <v>313</v>
      </c>
    </row>
    <row r="101" spans="1:7" ht="18" customHeight="1">
      <c r="A101" s="2" t="s">
        <v>102</v>
      </c>
      <c r="B101" s="3">
        <v>1.2</v>
      </c>
      <c r="C101" s="3">
        <f t="shared" si="2"/>
        <v>4.32</v>
      </c>
      <c r="D101" s="3">
        <v>3.6</v>
      </c>
      <c r="E101" s="3">
        <f t="shared" si="3"/>
        <v>12.96</v>
      </c>
      <c r="F101" s="4">
        <v>264</v>
      </c>
    </row>
    <row r="102" spans="1:7" ht="18" customHeight="1">
      <c r="A102" s="2" t="s">
        <v>103</v>
      </c>
      <c r="B102" s="3">
        <v>1.4</v>
      </c>
      <c r="C102" s="3">
        <f t="shared" si="2"/>
        <v>5.04</v>
      </c>
      <c r="D102" s="3">
        <v>3.6</v>
      </c>
      <c r="E102" s="3">
        <f t="shared" si="3"/>
        <v>12.96</v>
      </c>
      <c r="F102" s="4">
        <v>257</v>
      </c>
    </row>
    <row r="103" spans="1:7" ht="18" customHeight="1">
      <c r="A103" s="20" t="s">
        <v>104</v>
      </c>
      <c r="B103" s="21">
        <v>3.6</v>
      </c>
      <c r="C103" s="21">
        <f t="shared" si="2"/>
        <v>12.96</v>
      </c>
      <c r="D103" s="21">
        <v>9.6999999999999993</v>
      </c>
      <c r="E103" s="21">
        <f t="shared" si="3"/>
        <v>34.92</v>
      </c>
      <c r="F103" s="22">
        <v>183</v>
      </c>
      <c r="G103" s="26" t="s">
        <v>198</v>
      </c>
    </row>
    <row r="104" spans="1:7" ht="18" customHeight="1">
      <c r="A104" s="6" t="s">
        <v>105</v>
      </c>
      <c r="B104" s="7">
        <v>2.7</v>
      </c>
      <c r="C104" s="7">
        <f t="shared" si="2"/>
        <v>9.7200000000000006</v>
      </c>
      <c r="D104" s="7">
        <v>7.7</v>
      </c>
      <c r="E104" s="7">
        <f t="shared" si="3"/>
        <v>27.720000000000002</v>
      </c>
      <c r="F104" s="8">
        <v>121</v>
      </c>
    </row>
    <row r="105" spans="1:7" ht="18" customHeight="1">
      <c r="A105" s="14" t="s">
        <v>106</v>
      </c>
      <c r="B105" s="5">
        <v>5.7</v>
      </c>
      <c r="C105" s="5">
        <f t="shared" si="2"/>
        <v>20.52</v>
      </c>
      <c r="D105" s="5">
        <v>12.2</v>
      </c>
      <c r="E105" s="5">
        <f t="shared" si="3"/>
        <v>43.92</v>
      </c>
      <c r="F105" s="13">
        <v>144</v>
      </c>
      <c r="G105" s="15" t="s">
        <v>189</v>
      </c>
    </row>
    <row r="106" spans="1:7" ht="18" customHeight="1">
      <c r="A106" s="14" t="s">
        <v>107</v>
      </c>
      <c r="B106" s="5">
        <v>6.6</v>
      </c>
      <c r="C106" s="5">
        <f t="shared" si="2"/>
        <v>23.759999999999998</v>
      </c>
      <c r="D106" s="5">
        <v>13.3</v>
      </c>
      <c r="E106" s="5">
        <f t="shared" si="3"/>
        <v>47.88</v>
      </c>
      <c r="F106" s="13">
        <v>150</v>
      </c>
      <c r="G106" s="15" t="s">
        <v>188</v>
      </c>
    </row>
    <row r="107" spans="1:7" ht="18" customHeight="1">
      <c r="A107" s="14" t="s">
        <v>108</v>
      </c>
      <c r="B107" s="5">
        <v>6.5</v>
      </c>
      <c r="C107" s="5">
        <f t="shared" si="2"/>
        <v>23.400000000000002</v>
      </c>
      <c r="D107" s="5">
        <v>14.8</v>
      </c>
      <c r="E107" s="5">
        <f t="shared" si="3"/>
        <v>53.28</v>
      </c>
      <c r="F107" s="13">
        <v>129</v>
      </c>
      <c r="G107" s="15" t="s">
        <v>189</v>
      </c>
    </row>
    <row r="108" spans="1:7" ht="18" customHeight="1">
      <c r="A108" s="14" t="s">
        <v>109</v>
      </c>
      <c r="B108" s="5">
        <v>7.6</v>
      </c>
      <c r="C108" s="5">
        <f t="shared" si="2"/>
        <v>27.36</v>
      </c>
      <c r="D108" s="5">
        <v>14.8</v>
      </c>
      <c r="E108" s="5">
        <f t="shared" si="3"/>
        <v>53.28</v>
      </c>
      <c r="F108" s="13">
        <v>150</v>
      </c>
      <c r="G108" s="15" t="s">
        <v>188</v>
      </c>
    </row>
    <row r="109" spans="1:7" ht="18" customHeight="1">
      <c r="A109" s="14" t="s">
        <v>110</v>
      </c>
      <c r="B109" s="5">
        <v>6.5</v>
      </c>
      <c r="C109" s="5">
        <f t="shared" si="2"/>
        <v>23.400000000000002</v>
      </c>
      <c r="D109" s="5">
        <v>14.8</v>
      </c>
      <c r="E109" s="5">
        <f t="shared" si="3"/>
        <v>53.28</v>
      </c>
      <c r="F109" s="13">
        <v>132</v>
      </c>
      <c r="G109" s="15" t="s">
        <v>189</v>
      </c>
    </row>
    <row r="110" spans="1:7" ht="18" customHeight="1">
      <c r="A110" s="27" t="s">
        <v>111</v>
      </c>
      <c r="B110" s="28">
        <v>4.9000000000000004</v>
      </c>
      <c r="C110" s="28">
        <f t="shared" si="2"/>
        <v>17.64</v>
      </c>
      <c r="D110" s="28">
        <v>9.6999999999999993</v>
      </c>
      <c r="E110" s="28">
        <f t="shared" si="3"/>
        <v>34.92</v>
      </c>
      <c r="F110" s="29">
        <v>120</v>
      </c>
      <c r="G110" s="26" t="s">
        <v>190</v>
      </c>
    </row>
    <row r="111" spans="1:7" ht="18" customHeight="1">
      <c r="A111" s="2" t="s">
        <v>112</v>
      </c>
      <c r="B111" s="3">
        <v>2.6</v>
      </c>
      <c r="C111" s="3">
        <f t="shared" si="2"/>
        <v>9.3600000000000012</v>
      </c>
      <c r="D111" s="3">
        <v>8.6999999999999993</v>
      </c>
      <c r="E111" s="3">
        <f t="shared" si="3"/>
        <v>31.319999999999997</v>
      </c>
      <c r="F111" s="4">
        <v>81</v>
      </c>
    </row>
    <row r="112" spans="1:7" ht="18" customHeight="1">
      <c r="A112" s="2" t="s">
        <v>113</v>
      </c>
      <c r="B112" s="3">
        <v>1</v>
      </c>
      <c r="C112" s="3">
        <f t="shared" si="2"/>
        <v>3.6</v>
      </c>
      <c r="D112" s="3">
        <v>2.6</v>
      </c>
      <c r="E112" s="3">
        <f t="shared" si="3"/>
        <v>9.3600000000000012</v>
      </c>
      <c r="F112" s="4">
        <v>300</v>
      </c>
    </row>
    <row r="113" spans="1:7" ht="18" customHeight="1">
      <c r="A113" s="2" t="s">
        <v>114</v>
      </c>
      <c r="B113" s="3">
        <v>2.1</v>
      </c>
      <c r="C113" s="3">
        <f t="shared" si="2"/>
        <v>7.5600000000000005</v>
      </c>
      <c r="D113" s="3">
        <v>7.1</v>
      </c>
      <c r="E113" s="3">
        <f t="shared" si="3"/>
        <v>25.56</v>
      </c>
      <c r="F113" s="4">
        <v>24</v>
      </c>
    </row>
    <row r="114" spans="1:7" ht="18" customHeight="1">
      <c r="A114" s="2" t="s">
        <v>115</v>
      </c>
      <c r="B114" s="3">
        <v>2.4</v>
      </c>
      <c r="C114" s="3">
        <f t="shared" si="2"/>
        <v>8.64</v>
      </c>
      <c r="D114" s="3">
        <v>6.6</v>
      </c>
      <c r="E114" s="3">
        <f t="shared" si="3"/>
        <v>23.759999999999998</v>
      </c>
      <c r="F114" s="4">
        <v>76</v>
      </c>
    </row>
    <row r="115" spans="1:7" ht="18" customHeight="1">
      <c r="A115" s="2" t="s">
        <v>116</v>
      </c>
      <c r="B115" s="3">
        <v>2</v>
      </c>
      <c r="C115" s="3">
        <f t="shared" si="2"/>
        <v>7.2</v>
      </c>
      <c r="D115" s="3">
        <v>8.1999999999999993</v>
      </c>
      <c r="E115" s="3">
        <f t="shared" si="3"/>
        <v>29.52</v>
      </c>
      <c r="F115" s="4">
        <v>339</v>
      </c>
    </row>
    <row r="116" spans="1:7" ht="18" customHeight="1">
      <c r="A116" s="2" t="s">
        <v>117</v>
      </c>
      <c r="B116" s="3">
        <v>1</v>
      </c>
      <c r="C116" s="3">
        <f t="shared" si="2"/>
        <v>3.6</v>
      </c>
      <c r="D116" s="3">
        <v>5.0999999999999996</v>
      </c>
      <c r="E116" s="3">
        <f t="shared" si="3"/>
        <v>18.36</v>
      </c>
      <c r="F116" s="4">
        <v>161</v>
      </c>
    </row>
    <row r="117" spans="1:7" ht="18" customHeight="1">
      <c r="A117" s="2" t="s">
        <v>118</v>
      </c>
      <c r="B117" s="3">
        <v>0.4</v>
      </c>
      <c r="C117" s="3">
        <f t="shared" si="2"/>
        <v>1.4400000000000002</v>
      </c>
      <c r="D117" s="3">
        <v>2</v>
      </c>
      <c r="E117" s="3">
        <f t="shared" si="3"/>
        <v>7.2</v>
      </c>
      <c r="F117" s="4">
        <v>297</v>
      </c>
    </row>
    <row r="118" spans="1:7" ht="18" customHeight="1">
      <c r="A118" s="6" t="s">
        <v>119</v>
      </c>
      <c r="B118" s="7">
        <v>1.1000000000000001</v>
      </c>
      <c r="C118" s="7">
        <f t="shared" si="2"/>
        <v>3.9600000000000004</v>
      </c>
      <c r="D118" s="7">
        <v>4.0999999999999996</v>
      </c>
      <c r="E118" s="7">
        <f t="shared" si="3"/>
        <v>14.76</v>
      </c>
      <c r="F118" s="8">
        <v>252</v>
      </c>
    </row>
    <row r="119" spans="1:7" ht="18" customHeight="1">
      <c r="A119" s="14" t="s">
        <v>120</v>
      </c>
      <c r="B119" s="5">
        <v>3.5</v>
      </c>
      <c r="C119" s="5">
        <f t="shared" si="2"/>
        <v>12.6</v>
      </c>
      <c r="D119" s="5">
        <v>12.2</v>
      </c>
      <c r="E119" s="5">
        <f t="shared" si="3"/>
        <v>43.92</v>
      </c>
      <c r="F119" s="13">
        <v>149</v>
      </c>
      <c r="G119" s="15" t="s">
        <v>188</v>
      </c>
    </row>
    <row r="120" spans="1:7" ht="18" customHeight="1">
      <c r="A120" s="14" t="s">
        <v>121</v>
      </c>
      <c r="B120" s="5">
        <v>7.7</v>
      </c>
      <c r="C120" s="5">
        <f t="shared" si="2"/>
        <v>27.720000000000002</v>
      </c>
      <c r="D120" s="5">
        <v>18.399999999999999</v>
      </c>
      <c r="E120" s="5">
        <f t="shared" si="3"/>
        <v>66.239999999999995</v>
      </c>
      <c r="F120" s="13">
        <v>132</v>
      </c>
      <c r="G120" s="15" t="s">
        <v>189</v>
      </c>
    </row>
    <row r="121" spans="1:7" ht="18" customHeight="1">
      <c r="A121" s="14" t="s">
        <v>122</v>
      </c>
      <c r="B121" s="5">
        <v>9.1999999999999993</v>
      </c>
      <c r="C121" s="5">
        <f t="shared" si="2"/>
        <v>33.119999999999997</v>
      </c>
      <c r="D121" s="5">
        <v>19.899999999999999</v>
      </c>
      <c r="E121" s="5">
        <f t="shared" si="3"/>
        <v>71.64</v>
      </c>
      <c r="F121" s="13">
        <v>133</v>
      </c>
      <c r="G121" s="15" t="s">
        <v>189</v>
      </c>
    </row>
    <row r="122" spans="1:7" ht="18" customHeight="1">
      <c r="A122" s="14" t="s">
        <v>123</v>
      </c>
      <c r="B122" s="5">
        <v>8.1</v>
      </c>
      <c r="C122" s="5">
        <f t="shared" si="2"/>
        <v>29.16</v>
      </c>
      <c r="D122" s="5">
        <v>16.8</v>
      </c>
      <c r="E122" s="5">
        <f t="shared" si="3"/>
        <v>60.480000000000004</v>
      </c>
      <c r="F122" s="13">
        <v>132</v>
      </c>
      <c r="G122" s="15" t="s">
        <v>189</v>
      </c>
    </row>
    <row r="123" spans="1:7" ht="18" customHeight="1">
      <c r="A123" s="14" t="s">
        <v>124</v>
      </c>
      <c r="B123" s="5">
        <v>8</v>
      </c>
      <c r="C123" s="5">
        <f t="shared" si="2"/>
        <v>28.8</v>
      </c>
      <c r="D123" s="5">
        <v>17.899999999999999</v>
      </c>
      <c r="E123" s="5">
        <f t="shared" si="3"/>
        <v>64.44</v>
      </c>
      <c r="F123" s="13">
        <v>131</v>
      </c>
      <c r="G123" s="15" t="s">
        <v>189</v>
      </c>
    </row>
    <row r="124" spans="1:7" ht="18" customHeight="1">
      <c r="A124" s="14" t="s">
        <v>125</v>
      </c>
      <c r="B124" s="5">
        <v>9.6</v>
      </c>
      <c r="C124" s="5">
        <f t="shared" si="2"/>
        <v>34.56</v>
      </c>
      <c r="D124" s="5">
        <v>17.899999999999999</v>
      </c>
      <c r="E124" s="5">
        <f t="shared" si="3"/>
        <v>64.44</v>
      </c>
      <c r="F124" s="13">
        <v>141</v>
      </c>
      <c r="G124" s="15" t="s">
        <v>189</v>
      </c>
    </row>
    <row r="125" spans="1:7" ht="18" customHeight="1">
      <c r="A125" s="14" t="s">
        <v>126</v>
      </c>
      <c r="B125" s="5">
        <v>9.5</v>
      </c>
      <c r="C125" s="5">
        <f t="shared" si="2"/>
        <v>34.200000000000003</v>
      </c>
      <c r="D125" s="5">
        <v>22.4</v>
      </c>
      <c r="E125" s="5">
        <f t="shared" si="3"/>
        <v>80.64</v>
      </c>
      <c r="F125" s="13">
        <v>132</v>
      </c>
      <c r="G125" s="15" t="s">
        <v>189</v>
      </c>
    </row>
    <row r="126" spans="1:7" ht="18" customHeight="1">
      <c r="A126" s="14" t="s">
        <v>127</v>
      </c>
      <c r="B126" s="5">
        <v>7.2</v>
      </c>
      <c r="C126" s="5">
        <f t="shared" si="2"/>
        <v>25.92</v>
      </c>
      <c r="D126" s="5">
        <v>19.399999999999999</v>
      </c>
      <c r="E126" s="5">
        <f t="shared" si="3"/>
        <v>69.84</v>
      </c>
      <c r="F126" s="13">
        <v>111</v>
      </c>
      <c r="G126" s="15" t="s">
        <v>190</v>
      </c>
    </row>
    <row r="127" spans="1:7" ht="18" customHeight="1">
      <c r="A127" s="14" t="s">
        <v>128</v>
      </c>
      <c r="B127" s="5">
        <v>4.2</v>
      </c>
      <c r="C127" s="5">
        <f t="shared" si="2"/>
        <v>15.120000000000001</v>
      </c>
      <c r="D127" s="5">
        <v>12.8</v>
      </c>
      <c r="E127" s="5">
        <f t="shared" si="3"/>
        <v>46.080000000000005</v>
      </c>
      <c r="F127" s="13">
        <v>104</v>
      </c>
      <c r="G127" s="15" t="s">
        <v>190</v>
      </c>
    </row>
    <row r="128" spans="1:7" ht="18" customHeight="1">
      <c r="A128" s="14" t="s">
        <v>129</v>
      </c>
      <c r="B128" s="5">
        <v>5</v>
      </c>
      <c r="C128" s="5">
        <f t="shared" si="2"/>
        <v>18</v>
      </c>
      <c r="D128" s="5">
        <v>12.8</v>
      </c>
      <c r="E128" s="5">
        <f t="shared" si="3"/>
        <v>46.080000000000005</v>
      </c>
      <c r="F128" s="13">
        <v>82</v>
      </c>
      <c r="G128" s="15" t="s">
        <v>192</v>
      </c>
    </row>
    <row r="129" spans="1:7" ht="18" customHeight="1">
      <c r="A129" s="20" t="s">
        <v>130</v>
      </c>
      <c r="B129" s="21">
        <v>4.5999999999999996</v>
      </c>
      <c r="C129" s="21">
        <f t="shared" si="2"/>
        <v>16.559999999999999</v>
      </c>
      <c r="D129" s="21">
        <v>10.199999999999999</v>
      </c>
      <c r="E129" s="21">
        <f t="shared" si="3"/>
        <v>36.72</v>
      </c>
      <c r="F129" s="22">
        <v>79</v>
      </c>
      <c r="G129" s="26" t="s">
        <v>192</v>
      </c>
    </row>
    <row r="130" spans="1:7" ht="18" customHeight="1">
      <c r="A130" s="27" t="s">
        <v>131</v>
      </c>
      <c r="B130" s="28">
        <v>3.5</v>
      </c>
      <c r="C130" s="28">
        <f t="shared" si="2"/>
        <v>12.6</v>
      </c>
      <c r="D130" s="28">
        <v>9.1999999999999993</v>
      </c>
      <c r="E130" s="28">
        <f t="shared" si="3"/>
        <v>33.119999999999997</v>
      </c>
      <c r="F130" s="29">
        <v>76</v>
      </c>
      <c r="G130" s="26" t="s">
        <v>192</v>
      </c>
    </row>
    <row r="131" spans="1:7" ht="18" customHeight="1">
      <c r="A131" s="2" t="s">
        <v>132</v>
      </c>
      <c r="B131" s="3">
        <v>1.4</v>
      </c>
      <c r="C131" s="3">
        <f t="shared" si="2"/>
        <v>5.04</v>
      </c>
      <c r="D131" s="3">
        <v>5.0999999999999996</v>
      </c>
      <c r="E131" s="3">
        <f t="shared" si="3"/>
        <v>18.36</v>
      </c>
      <c r="F131" s="4">
        <v>216</v>
      </c>
    </row>
    <row r="132" spans="1:7" ht="18" customHeight="1">
      <c r="A132" s="2" t="s">
        <v>133</v>
      </c>
      <c r="B132" s="3">
        <v>1.1000000000000001</v>
      </c>
      <c r="C132" s="3">
        <f t="shared" ref="C132:C187" si="4">(B132*3.6)</f>
        <v>3.9600000000000004</v>
      </c>
      <c r="D132" s="3">
        <v>3.6</v>
      </c>
      <c r="E132" s="3">
        <f t="shared" ref="E132:E187" si="5">(D132*3.6)</f>
        <v>12.96</v>
      </c>
      <c r="F132" s="4">
        <v>82</v>
      </c>
    </row>
    <row r="133" spans="1:7" ht="18" customHeight="1">
      <c r="A133" s="2" t="s">
        <v>134</v>
      </c>
      <c r="B133" s="3">
        <v>0.7</v>
      </c>
      <c r="C133" s="3">
        <f t="shared" si="4"/>
        <v>2.52</v>
      </c>
      <c r="D133" s="3">
        <v>2.6</v>
      </c>
      <c r="E133" s="3">
        <f t="shared" si="5"/>
        <v>9.3600000000000012</v>
      </c>
      <c r="F133" s="4">
        <v>59</v>
      </c>
    </row>
    <row r="134" spans="1:7" ht="18" customHeight="1">
      <c r="A134" s="2" t="s">
        <v>135</v>
      </c>
      <c r="B134" s="3">
        <v>0.2</v>
      </c>
      <c r="C134" s="3">
        <f t="shared" si="4"/>
        <v>0.72000000000000008</v>
      </c>
      <c r="D134" s="3">
        <v>1.5</v>
      </c>
      <c r="E134" s="3">
        <f t="shared" si="5"/>
        <v>5.4</v>
      </c>
      <c r="F134" s="4">
        <v>281</v>
      </c>
    </row>
    <row r="135" spans="1:7" ht="18" customHeight="1">
      <c r="A135" s="2" t="s">
        <v>136</v>
      </c>
      <c r="B135" s="3">
        <v>1.3</v>
      </c>
      <c r="C135" s="3">
        <f t="shared" si="4"/>
        <v>4.6800000000000006</v>
      </c>
      <c r="D135" s="3">
        <v>6.1</v>
      </c>
      <c r="E135" s="3">
        <f t="shared" si="5"/>
        <v>21.96</v>
      </c>
      <c r="F135" s="4">
        <v>345</v>
      </c>
    </row>
    <row r="136" spans="1:7" ht="18" customHeight="1">
      <c r="A136" s="2" t="s">
        <v>137</v>
      </c>
      <c r="B136" s="3">
        <v>3.6</v>
      </c>
      <c r="C136" s="3">
        <f t="shared" si="4"/>
        <v>12.96</v>
      </c>
      <c r="D136" s="3">
        <v>6.1</v>
      </c>
      <c r="E136" s="3">
        <f t="shared" si="5"/>
        <v>21.96</v>
      </c>
      <c r="F136" s="4">
        <v>339</v>
      </c>
    </row>
    <row r="137" spans="1:7" ht="18" customHeight="1">
      <c r="A137" s="2" t="s">
        <v>138</v>
      </c>
      <c r="B137" s="3">
        <v>1.5</v>
      </c>
      <c r="C137" s="3">
        <f t="shared" si="4"/>
        <v>5.4</v>
      </c>
      <c r="D137" s="3">
        <v>5.0999999999999996</v>
      </c>
      <c r="E137" s="3">
        <f t="shared" si="5"/>
        <v>18.36</v>
      </c>
      <c r="F137" s="4">
        <v>337</v>
      </c>
    </row>
    <row r="138" spans="1:7" ht="18" customHeight="1">
      <c r="A138" s="2" t="s">
        <v>139</v>
      </c>
      <c r="B138" s="3">
        <v>0.6</v>
      </c>
      <c r="C138" s="3">
        <f t="shared" si="4"/>
        <v>2.16</v>
      </c>
      <c r="D138" s="3">
        <v>3.1</v>
      </c>
      <c r="E138" s="3">
        <f t="shared" si="5"/>
        <v>11.16</v>
      </c>
      <c r="F138" s="4">
        <v>309</v>
      </c>
    </row>
    <row r="139" spans="1:7" ht="18" customHeight="1">
      <c r="A139" s="2" t="s">
        <v>140</v>
      </c>
      <c r="B139" s="3">
        <v>1</v>
      </c>
      <c r="C139" s="3">
        <f t="shared" si="4"/>
        <v>3.6</v>
      </c>
      <c r="D139" s="3">
        <v>3.6</v>
      </c>
      <c r="E139" s="3">
        <f t="shared" si="5"/>
        <v>12.96</v>
      </c>
      <c r="F139" s="4">
        <v>325</v>
      </c>
    </row>
    <row r="140" spans="1:7" ht="18" customHeight="1">
      <c r="A140" s="2" t="s">
        <v>141</v>
      </c>
      <c r="B140" s="3">
        <v>0.5</v>
      </c>
      <c r="C140" s="3">
        <f t="shared" si="4"/>
        <v>1.8</v>
      </c>
      <c r="D140" s="3">
        <v>4.5999999999999996</v>
      </c>
      <c r="E140" s="3">
        <f t="shared" si="5"/>
        <v>16.559999999999999</v>
      </c>
      <c r="F140" s="4">
        <v>321</v>
      </c>
    </row>
    <row r="141" spans="1:7" ht="18" customHeight="1">
      <c r="A141" s="2" t="s">
        <v>142</v>
      </c>
      <c r="B141" s="3">
        <v>1.1000000000000001</v>
      </c>
      <c r="C141" s="3">
        <f t="shared" si="4"/>
        <v>3.9600000000000004</v>
      </c>
      <c r="D141" s="3">
        <v>4.0999999999999996</v>
      </c>
      <c r="E141" s="3">
        <f t="shared" si="5"/>
        <v>14.76</v>
      </c>
      <c r="F141" s="4">
        <v>342</v>
      </c>
    </row>
    <row r="142" spans="1:7" ht="18" customHeight="1">
      <c r="A142" s="2" t="s">
        <v>143</v>
      </c>
      <c r="B142" s="3">
        <v>0.9</v>
      </c>
      <c r="C142" s="3">
        <f t="shared" si="4"/>
        <v>3.24</v>
      </c>
      <c r="D142" s="3">
        <v>2.6</v>
      </c>
      <c r="E142" s="3">
        <f t="shared" si="5"/>
        <v>9.3600000000000012</v>
      </c>
      <c r="F142" s="4">
        <v>313</v>
      </c>
    </row>
    <row r="143" spans="1:7" ht="18" customHeight="1">
      <c r="A143" s="2" t="s">
        <v>144</v>
      </c>
      <c r="B143" s="3">
        <v>1.3</v>
      </c>
      <c r="C143" s="3">
        <f t="shared" si="4"/>
        <v>4.6800000000000006</v>
      </c>
      <c r="D143" s="3">
        <v>3.6</v>
      </c>
      <c r="E143" s="3">
        <f t="shared" si="5"/>
        <v>12.96</v>
      </c>
      <c r="F143" s="4">
        <v>268</v>
      </c>
    </row>
    <row r="144" spans="1:7" ht="18" customHeight="1">
      <c r="A144" s="2" t="s">
        <v>145</v>
      </c>
      <c r="B144" s="3">
        <v>1.4</v>
      </c>
      <c r="C144" s="3">
        <f t="shared" si="4"/>
        <v>5.04</v>
      </c>
      <c r="D144" s="3">
        <v>4.0999999999999996</v>
      </c>
      <c r="E144" s="3">
        <f t="shared" si="5"/>
        <v>14.76</v>
      </c>
      <c r="F144" s="4">
        <v>162</v>
      </c>
    </row>
    <row r="145" spans="1:7" ht="18" customHeight="1">
      <c r="A145" s="2" t="s">
        <v>146</v>
      </c>
      <c r="B145" s="3">
        <v>1.1000000000000001</v>
      </c>
      <c r="C145" s="3">
        <f t="shared" si="4"/>
        <v>3.9600000000000004</v>
      </c>
      <c r="D145" s="3">
        <v>2</v>
      </c>
      <c r="E145" s="3">
        <f t="shared" si="5"/>
        <v>7.2</v>
      </c>
      <c r="F145" s="4">
        <v>134</v>
      </c>
    </row>
    <row r="146" spans="1:7" ht="18" customHeight="1">
      <c r="A146" s="6" t="s">
        <v>147</v>
      </c>
      <c r="B146" s="7">
        <v>2.2000000000000002</v>
      </c>
      <c r="C146" s="7">
        <f t="shared" si="4"/>
        <v>7.9200000000000008</v>
      </c>
      <c r="D146" s="7">
        <v>5.6</v>
      </c>
      <c r="E146" s="7">
        <f t="shared" si="5"/>
        <v>20.16</v>
      </c>
      <c r="F146" s="8">
        <v>155</v>
      </c>
    </row>
    <row r="147" spans="1:7" ht="18" customHeight="1">
      <c r="A147" s="20" t="s">
        <v>148</v>
      </c>
      <c r="B147" s="21">
        <v>3.9</v>
      </c>
      <c r="C147" s="21">
        <f t="shared" si="4"/>
        <v>14.04</v>
      </c>
      <c r="D147" s="21">
        <v>9.1999999999999993</v>
      </c>
      <c r="E147" s="21">
        <f t="shared" si="5"/>
        <v>33.119999999999997</v>
      </c>
      <c r="F147" s="22">
        <v>157</v>
      </c>
      <c r="G147" s="26" t="s">
        <v>188</v>
      </c>
    </row>
    <row r="148" spans="1:7" ht="18" customHeight="1">
      <c r="A148" s="20" t="s">
        <v>149</v>
      </c>
      <c r="B148" s="21">
        <v>3.7</v>
      </c>
      <c r="C148" s="21">
        <f t="shared" si="4"/>
        <v>13.32</v>
      </c>
      <c r="D148" s="21">
        <v>9.6999999999999993</v>
      </c>
      <c r="E148" s="21">
        <f t="shared" si="5"/>
        <v>34.92</v>
      </c>
      <c r="F148" s="22">
        <v>180</v>
      </c>
      <c r="G148" s="26" t="s">
        <v>198</v>
      </c>
    </row>
    <row r="149" spans="1:7" ht="18" customHeight="1">
      <c r="A149" s="9" t="s">
        <v>150</v>
      </c>
      <c r="B149" s="10">
        <v>4.3</v>
      </c>
      <c r="C149" s="10">
        <f t="shared" si="4"/>
        <v>15.48</v>
      </c>
      <c r="D149" s="10">
        <v>8.6999999999999993</v>
      </c>
      <c r="E149" s="10">
        <f t="shared" si="5"/>
        <v>31.319999999999997</v>
      </c>
      <c r="F149" s="11">
        <v>182</v>
      </c>
    </row>
    <row r="150" spans="1:7" ht="18" customHeight="1">
      <c r="A150" s="2" t="s">
        <v>151</v>
      </c>
      <c r="B150" s="3">
        <v>3.3</v>
      </c>
      <c r="C150" s="3">
        <f t="shared" si="4"/>
        <v>11.879999999999999</v>
      </c>
      <c r="D150" s="3">
        <v>7.7</v>
      </c>
      <c r="E150" s="3">
        <f t="shared" si="5"/>
        <v>27.720000000000002</v>
      </c>
      <c r="F150" s="4">
        <v>152</v>
      </c>
    </row>
    <row r="151" spans="1:7" ht="18" customHeight="1">
      <c r="A151" s="2" t="s">
        <v>152</v>
      </c>
      <c r="B151" s="3">
        <v>1.5</v>
      </c>
      <c r="C151" s="3">
        <f t="shared" si="4"/>
        <v>5.4</v>
      </c>
      <c r="D151" s="3">
        <v>6.6</v>
      </c>
      <c r="E151" s="3">
        <f t="shared" si="5"/>
        <v>23.759999999999998</v>
      </c>
      <c r="F151" s="4">
        <v>138</v>
      </c>
    </row>
    <row r="152" spans="1:7" ht="18" customHeight="1">
      <c r="A152" s="2" t="s">
        <v>153</v>
      </c>
      <c r="B152" s="3">
        <v>1.7</v>
      </c>
      <c r="C152" s="3">
        <f t="shared" si="4"/>
        <v>6.12</v>
      </c>
      <c r="D152" s="3">
        <v>8.1999999999999993</v>
      </c>
      <c r="E152" s="3">
        <f t="shared" si="5"/>
        <v>29.52</v>
      </c>
      <c r="F152" s="4">
        <v>153</v>
      </c>
    </row>
    <row r="153" spans="1:7" ht="18" customHeight="1">
      <c r="A153" s="2" t="s">
        <v>154</v>
      </c>
      <c r="B153" s="3">
        <v>2.4</v>
      </c>
      <c r="C153" s="3">
        <f t="shared" si="4"/>
        <v>8.64</v>
      </c>
      <c r="D153" s="3">
        <v>6.1</v>
      </c>
      <c r="E153" s="3">
        <f t="shared" si="5"/>
        <v>21.96</v>
      </c>
      <c r="F153" s="4">
        <v>188</v>
      </c>
    </row>
    <row r="154" spans="1:7" ht="18" customHeight="1">
      <c r="A154" s="2" t="s">
        <v>155</v>
      </c>
      <c r="B154" s="3">
        <v>2.1</v>
      </c>
      <c r="C154" s="3">
        <f t="shared" si="4"/>
        <v>7.5600000000000005</v>
      </c>
      <c r="D154" s="3">
        <v>5.0999999999999996</v>
      </c>
      <c r="E154" s="3">
        <f t="shared" si="5"/>
        <v>18.36</v>
      </c>
      <c r="F154" s="4">
        <v>239</v>
      </c>
    </row>
    <row r="155" spans="1:7" ht="18" customHeight="1">
      <c r="A155" s="2" t="s">
        <v>156</v>
      </c>
      <c r="B155" s="3">
        <v>0.9</v>
      </c>
      <c r="C155" s="3">
        <f t="shared" si="4"/>
        <v>3.24</v>
      </c>
      <c r="D155" s="3">
        <v>3.1</v>
      </c>
      <c r="E155" s="3">
        <f t="shared" si="5"/>
        <v>11.16</v>
      </c>
      <c r="F155" s="4">
        <v>301</v>
      </c>
    </row>
    <row r="156" spans="1:7" ht="18" customHeight="1">
      <c r="A156" s="2" t="s">
        <v>157</v>
      </c>
      <c r="B156" s="3">
        <v>2</v>
      </c>
      <c r="C156" s="3">
        <f t="shared" si="4"/>
        <v>7.2</v>
      </c>
      <c r="D156" s="3">
        <v>4.5999999999999996</v>
      </c>
      <c r="E156" s="3">
        <f t="shared" si="5"/>
        <v>16.559999999999999</v>
      </c>
      <c r="F156" s="4">
        <v>347</v>
      </c>
    </row>
    <row r="157" spans="1:7" ht="18" customHeight="1">
      <c r="A157" s="2" t="s">
        <v>158</v>
      </c>
      <c r="B157" s="3">
        <v>3.4</v>
      </c>
      <c r="C157" s="3">
        <f t="shared" si="4"/>
        <v>12.24</v>
      </c>
      <c r="D157" s="3">
        <v>6.1</v>
      </c>
      <c r="E157" s="3">
        <f t="shared" si="5"/>
        <v>21.96</v>
      </c>
      <c r="F157" s="4">
        <v>343</v>
      </c>
    </row>
    <row r="158" spans="1:7" ht="18" customHeight="1">
      <c r="A158" s="2" t="s">
        <v>159</v>
      </c>
      <c r="B158" s="3">
        <v>3.8</v>
      </c>
      <c r="C158" s="3">
        <f t="shared" si="4"/>
        <v>13.68</v>
      </c>
      <c r="D158" s="3">
        <v>7.1</v>
      </c>
      <c r="E158" s="3">
        <f t="shared" si="5"/>
        <v>25.56</v>
      </c>
      <c r="F158" s="4">
        <v>340</v>
      </c>
    </row>
    <row r="159" spans="1:7" ht="18" customHeight="1">
      <c r="A159" s="2" t="s">
        <v>160</v>
      </c>
      <c r="B159" s="3">
        <v>0.7</v>
      </c>
      <c r="C159" s="3">
        <f t="shared" si="4"/>
        <v>2.52</v>
      </c>
      <c r="D159" s="3">
        <v>4.0999999999999996</v>
      </c>
      <c r="E159" s="3">
        <f t="shared" si="5"/>
        <v>14.76</v>
      </c>
      <c r="F159" s="4">
        <v>320</v>
      </c>
    </row>
    <row r="160" spans="1:7" ht="18" customHeight="1">
      <c r="A160" s="2" t="s">
        <v>161</v>
      </c>
      <c r="B160" s="3">
        <v>3.1</v>
      </c>
      <c r="C160" s="3">
        <f t="shared" si="4"/>
        <v>11.16</v>
      </c>
      <c r="D160" s="3">
        <v>8.6999999999999993</v>
      </c>
      <c r="E160" s="3">
        <f t="shared" si="5"/>
        <v>31.319999999999997</v>
      </c>
      <c r="F160" s="4">
        <v>185</v>
      </c>
    </row>
    <row r="161" spans="1:7" ht="18" customHeight="1">
      <c r="A161" s="2" t="s">
        <v>162</v>
      </c>
      <c r="B161" s="3">
        <v>2.9</v>
      </c>
      <c r="C161" s="3">
        <f t="shared" si="4"/>
        <v>10.44</v>
      </c>
      <c r="D161" s="3">
        <v>7.7</v>
      </c>
      <c r="E161" s="3">
        <f t="shared" si="5"/>
        <v>27.720000000000002</v>
      </c>
      <c r="F161" s="4">
        <v>182</v>
      </c>
    </row>
    <row r="162" spans="1:7" ht="18" customHeight="1">
      <c r="A162" s="2" t="s">
        <v>163</v>
      </c>
      <c r="B162" s="3">
        <v>2.9</v>
      </c>
      <c r="C162" s="3">
        <f t="shared" si="4"/>
        <v>10.44</v>
      </c>
      <c r="D162" s="3">
        <v>7.7</v>
      </c>
      <c r="E162" s="3">
        <f t="shared" si="5"/>
        <v>27.720000000000002</v>
      </c>
      <c r="F162" s="4">
        <v>160</v>
      </c>
    </row>
    <row r="163" spans="1:7" ht="18" customHeight="1">
      <c r="A163" s="2" t="s">
        <v>164</v>
      </c>
      <c r="B163" s="3">
        <v>2.9</v>
      </c>
      <c r="C163" s="3">
        <f t="shared" si="4"/>
        <v>10.44</v>
      </c>
      <c r="D163" s="3">
        <v>7.1</v>
      </c>
      <c r="E163" s="3">
        <f t="shared" si="5"/>
        <v>25.56</v>
      </c>
      <c r="F163" s="4">
        <v>158</v>
      </c>
    </row>
    <row r="164" spans="1:7" ht="18" customHeight="1">
      <c r="A164" s="6" t="s">
        <v>165</v>
      </c>
      <c r="B164" s="7">
        <v>3.2</v>
      </c>
      <c r="C164" s="7">
        <f t="shared" si="4"/>
        <v>11.520000000000001</v>
      </c>
      <c r="D164" s="7">
        <v>7.1</v>
      </c>
      <c r="E164" s="7">
        <f t="shared" si="5"/>
        <v>25.56</v>
      </c>
      <c r="F164" s="8">
        <v>155</v>
      </c>
    </row>
    <row r="165" spans="1:7" ht="18" customHeight="1">
      <c r="A165" s="12">
        <v>45227.25</v>
      </c>
      <c r="B165" s="5">
        <v>4</v>
      </c>
      <c r="C165" s="5">
        <f t="shared" si="4"/>
        <v>14.4</v>
      </c>
      <c r="D165" s="5">
        <v>12.2</v>
      </c>
      <c r="E165" s="5">
        <f t="shared" si="5"/>
        <v>43.92</v>
      </c>
      <c r="F165" s="13">
        <v>161</v>
      </c>
      <c r="G165" s="15" t="s">
        <v>188</v>
      </c>
    </row>
    <row r="166" spans="1:7" ht="18" customHeight="1">
      <c r="A166" s="14" t="s">
        <v>166</v>
      </c>
      <c r="B166" s="5">
        <v>5.8</v>
      </c>
      <c r="C166" s="5">
        <f t="shared" si="4"/>
        <v>20.88</v>
      </c>
      <c r="D166" s="5">
        <v>11.7</v>
      </c>
      <c r="E166" s="5">
        <f t="shared" si="5"/>
        <v>42.12</v>
      </c>
      <c r="F166" s="13">
        <v>156</v>
      </c>
      <c r="G166" s="15" t="s">
        <v>188</v>
      </c>
    </row>
    <row r="167" spans="1:7" ht="18" customHeight="1">
      <c r="A167" s="14" t="s">
        <v>167</v>
      </c>
      <c r="B167" s="5">
        <v>7.4</v>
      </c>
      <c r="C167" s="5">
        <f t="shared" si="4"/>
        <v>26.64</v>
      </c>
      <c r="D167" s="5">
        <v>14.8</v>
      </c>
      <c r="E167" s="5">
        <f t="shared" si="5"/>
        <v>53.28</v>
      </c>
      <c r="F167" s="13">
        <v>145</v>
      </c>
      <c r="G167" s="15" t="s">
        <v>189</v>
      </c>
    </row>
    <row r="168" spans="1:7" ht="18" customHeight="1">
      <c r="A168" s="14" t="s">
        <v>168</v>
      </c>
      <c r="B168" s="5">
        <v>7</v>
      </c>
      <c r="C168" s="5">
        <f t="shared" si="4"/>
        <v>25.2</v>
      </c>
      <c r="D168" s="5">
        <v>16.3</v>
      </c>
      <c r="E168" s="5">
        <f t="shared" si="5"/>
        <v>58.680000000000007</v>
      </c>
      <c r="F168" s="13">
        <v>133</v>
      </c>
      <c r="G168" s="15" t="s">
        <v>189</v>
      </c>
    </row>
    <row r="169" spans="1:7" ht="18" customHeight="1">
      <c r="A169" s="14" t="s">
        <v>169</v>
      </c>
      <c r="B169" s="5">
        <v>7.1</v>
      </c>
      <c r="C169" s="5">
        <f t="shared" si="4"/>
        <v>25.56</v>
      </c>
      <c r="D169" s="5">
        <v>13.8</v>
      </c>
      <c r="E169" s="5">
        <f t="shared" si="5"/>
        <v>49.680000000000007</v>
      </c>
      <c r="F169" s="13">
        <v>129</v>
      </c>
      <c r="G169" s="15" t="s">
        <v>189</v>
      </c>
    </row>
    <row r="170" spans="1:7" ht="18" customHeight="1">
      <c r="A170" s="14" t="s">
        <v>170</v>
      </c>
      <c r="B170" s="5">
        <v>5.7</v>
      </c>
      <c r="C170" s="5">
        <f t="shared" si="4"/>
        <v>20.52</v>
      </c>
      <c r="D170" s="5">
        <v>13.8</v>
      </c>
      <c r="E170" s="5">
        <f t="shared" si="5"/>
        <v>49.680000000000007</v>
      </c>
      <c r="F170" s="13">
        <v>130</v>
      </c>
      <c r="G170" s="15" t="s">
        <v>189</v>
      </c>
    </row>
    <row r="171" spans="1:7" ht="18" customHeight="1">
      <c r="A171" s="14" t="s">
        <v>171</v>
      </c>
      <c r="B171" s="5">
        <v>5.2</v>
      </c>
      <c r="C171" s="5">
        <f t="shared" si="4"/>
        <v>18.720000000000002</v>
      </c>
      <c r="D171" s="5">
        <v>13.8</v>
      </c>
      <c r="E171" s="5">
        <f t="shared" si="5"/>
        <v>49.680000000000007</v>
      </c>
      <c r="F171" s="13">
        <v>107</v>
      </c>
      <c r="G171" s="15" t="s">
        <v>190</v>
      </c>
    </row>
    <row r="172" spans="1:7" ht="18" customHeight="1">
      <c r="A172" s="14" t="s">
        <v>172</v>
      </c>
      <c r="B172" s="5">
        <v>6.1</v>
      </c>
      <c r="C172" s="5">
        <f t="shared" si="4"/>
        <v>21.96</v>
      </c>
      <c r="D172" s="5">
        <v>14.8</v>
      </c>
      <c r="E172" s="5">
        <f t="shared" si="5"/>
        <v>53.28</v>
      </c>
      <c r="F172" s="13">
        <v>107</v>
      </c>
      <c r="G172" s="15" t="s">
        <v>190</v>
      </c>
    </row>
    <row r="173" spans="1:7" ht="18" customHeight="1">
      <c r="A173" s="14" t="s">
        <v>173</v>
      </c>
      <c r="B173" s="5">
        <v>7.5</v>
      </c>
      <c r="C173" s="5">
        <f t="shared" si="4"/>
        <v>27</v>
      </c>
      <c r="D173" s="5">
        <v>15.8</v>
      </c>
      <c r="E173" s="5">
        <f t="shared" si="5"/>
        <v>56.88</v>
      </c>
      <c r="F173" s="13">
        <v>124</v>
      </c>
      <c r="G173" s="15" t="s">
        <v>189</v>
      </c>
    </row>
    <row r="174" spans="1:7" ht="18" customHeight="1">
      <c r="A174" s="14" t="s">
        <v>174</v>
      </c>
      <c r="B174" s="5">
        <v>5.3</v>
      </c>
      <c r="C174" s="5">
        <f t="shared" si="4"/>
        <v>19.079999999999998</v>
      </c>
      <c r="D174" s="5">
        <v>14.8</v>
      </c>
      <c r="E174" s="5">
        <f t="shared" si="5"/>
        <v>53.28</v>
      </c>
      <c r="F174" s="13">
        <v>106</v>
      </c>
      <c r="G174" s="15" t="s">
        <v>190</v>
      </c>
    </row>
    <row r="175" spans="1:7" ht="18" customHeight="1">
      <c r="A175" s="14" t="s">
        <v>175</v>
      </c>
      <c r="B175" s="5">
        <v>5.5</v>
      </c>
      <c r="C175" s="5">
        <f t="shared" si="4"/>
        <v>19.8</v>
      </c>
      <c r="D175" s="5">
        <v>15.3</v>
      </c>
      <c r="E175" s="5">
        <f t="shared" si="5"/>
        <v>55.080000000000005</v>
      </c>
      <c r="F175" s="13">
        <v>93</v>
      </c>
      <c r="G175" s="15" t="s">
        <v>192</v>
      </c>
    </row>
    <row r="176" spans="1:7" ht="18" customHeight="1">
      <c r="A176" s="14" t="s">
        <v>176</v>
      </c>
      <c r="B176" s="5">
        <v>3</v>
      </c>
      <c r="C176" s="5">
        <f t="shared" si="4"/>
        <v>10.8</v>
      </c>
      <c r="D176" s="5">
        <v>13.3</v>
      </c>
      <c r="E176" s="5">
        <f t="shared" si="5"/>
        <v>47.88</v>
      </c>
      <c r="F176" s="13">
        <v>102</v>
      </c>
      <c r="G176" s="15" t="s">
        <v>190</v>
      </c>
    </row>
    <row r="177" spans="1:7" ht="18" customHeight="1">
      <c r="A177" s="14" t="s">
        <v>177</v>
      </c>
      <c r="B177" s="5">
        <v>3.3</v>
      </c>
      <c r="C177" s="5">
        <f t="shared" si="4"/>
        <v>11.879999999999999</v>
      </c>
      <c r="D177" s="5">
        <v>11.7</v>
      </c>
      <c r="E177" s="5">
        <f t="shared" si="5"/>
        <v>42.12</v>
      </c>
      <c r="F177" s="13">
        <v>91</v>
      </c>
      <c r="G177" s="15" t="s">
        <v>192</v>
      </c>
    </row>
    <row r="178" spans="1:7" ht="18" customHeight="1">
      <c r="A178" s="14" t="s">
        <v>178</v>
      </c>
      <c r="B178" s="5">
        <v>5.6</v>
      </c>
      <c r="C178" s="5">
        <f t="shared" si="4"/>
        <v>20.16</v>
      </c>
      <c r="D178" s="5">
        <v>13.3</v>
      </c>
      <c r="E178" s="5">
        <f t="shared" si="5"/>
        <v>47.88</v>
      </c>
      <c r="F178" s="13">
        <v>107</v>
      </c>
      <c r="G178" s="15" t="s">
        <v>190</v>
      </c>
    </row>
    <row r="179" spans="1:7" ht="18" customHeight="1">
      <c r="A179" s="14" t="s">
        <v>179</v>
      </c>
      <c r="B179" s="5">
        <v>7.3</v>
      </c>
      <c r="C179" s="5">
        <f t="shared" si="4"/>
        <v>26.28</v>
      </c>
      <c r="D179" s="5">
        <v>16.3</v>
      </c>
      <c r="E179" s="5">
        <f t="shared" si="5"/>
        <v>58.680000000000007</v>
      </c>
      <c r="F179" s="13">
        <v>123</v>
      </c>
      <c r="G179" s="15" t="s">
        <v>190</v>
      </c>
    </row>
    <row r="180" spans="1:7" ht="18" customHeight="1">
      <c r="A180" s="14" t="s">
        <v>180</v>
      </c>
      <c r="B180" s="5">
        <v>5.8</v>
      </c>
      <c r="C180" s="5">
        <f t="shared" si="4"/>
        <v>20.88</v>
      </c>
      <c r="D180" s="5">
        <v>15.8</v>
      </c>
      <c r="E180" s="5">
        <f t="shared" si="5"/>
        <v>56.88</v>
      </c>
      <c r="F180" s="13">
        <v>130</v>
      </c>
      <c r="G180" s="15" t="s">
        <v>189</v>
      </c>
    </row>
    <row r="181" spans="1:7" ht="18" customHeight="1">
      <c r="A181" s="14" t="s">
        <v>181</v>
      </c>
      <c r="B181" s="5">
        <v>5</v>
      </c>
      <c r="C181" s="5">
        <f t="shared" si="4"/>
        <v>18</v>
      </c>
      <c r="D181" s="5">
        <v>13.3</v>
      </c>
      <c r="E181" s="5">
        <f t="shared" si="5"/>
        <v>47.88</v>
      </c>
      <c r="F181" s="13">
        <v>105</v>
      </c>
      <c r="G181" s="15" t="s">
        <v>190</v>
      </c>
    </row>
    <row r="182" spans="1:7" ht="18" customHeight="1">
      <c r="A182" s="14" t="s">
        <v>182</v>
      </c>
      <c r="B182" s="5">
        <v>4.5999999999999996</v>
      </c>
      <c r="C182" s="5">
        <f t="shared" si="4"/>
        <v>16.559999999999999</v>
      </c>
      <c r="D182" s="5">
        <v>11.2</v>
      </c>
      <c r="E182" s="5">
        <f t="shared" si="5"/>
        <v>40.32</v>
      </c>
      <c r="F182" s="13">
        <v>82</v>
      </c>
      <c r="G182" s="15" t="s">
        <v>192</v>
      </c>
    </row>
    <row r="183" spans="1:7" ht="18" customHeight="1">
      <c r="A183" s="9" t="s">
        <v>183</v>
      </c>
      <c r="B183" s="10">
        <v>2.7</v>
      </c>
      <c r="C183" s="10">
        <f t="shared" si="4"/>
        <v>9.7200000000000006</v>
      </c>
      <c r="D183" s="10">
        <v>7.1</v>
      </c>
      <c r="E183" s="10">
        <f t="shared" si="5"/>
        <v>25.56</v>
      </c>
      <c r="F183" s="11">
        <v>78</v>
      </c>
    </row>
    <row r="184" spans="1:7" ht="18" customHeight="1">
      <c r="A184" s="6" t="s">
        <v>184</v>
      </c>
      <c r="B184" s="7">
        <v>2.2000000000000002</v>
      </c>
      <c r="C184" s="7">
        <f t="shared" si="4"/>
        <v>7.9200000000000008</v>
      </c>
      <c r="D184" s="7">
        <v>8.1999999999999993</v>
      </c>
      <c r="E184" s="7">
        <f t="shared" si="5"/>
        <v>29.52</v>
      </c>
      <c r="F184" s="8">
        <v>74</v>
      </c>
    </row>
    <row r="185" spans="1:7" ht="18" customHeight="1">
      <c r="A185" s="14" t="s">
        <v>185</v>
      </c>
      <c r="B185" s="5">
        <v>4.2</v>
      </c>
      <c r="C185" s="5">
        <f t="shared" si="4"/>
        <v>15.120000000000001</v>
      </c>
      <c r="D185" s="5">
        <v>10.199999999999999</v>
      </c>
      <c r="E185" s="5">
        <f t="shared" si="5"/>
        <v>36.72</v>
      </c>
      <c r="F185" s="13">
        <v>110</v>
      </c>
      <c r="G185" s="15" t="s">
        <v>190</v>
      </c>
    </row>
    <row r="186" spans="1:7" ht="18" customHeight="1">
      <c r="A186" s="9" t="s">
        <v>186</v>
      </c>
      <c r="B186" s="10">
        <v>3.5</v>
      </c>
      <c r="C186" s="10">
        <f t="shared" si="4"/>
        <v>12.6</v>
      </c>
      <c r="D186" s="10">
        <v>8.6999999999999993</v>
      </c>
      <c r="E186" s="10">
        <f t="shared" si="5"/>
        <v>31.319999999999997</v>
      </c>
      <c r="F186" s="11">
        <v>81</v>
      </c>
    </row>
    <row r="187" spans="1:7" ht="18" customHeight="1">
      <c r="A187" s="2" t="s">
        <v>187</v>
      </c>
      <c r="B187" s="3">
        <v>3.3</v>
      </c>
      <c r="C187" s="3">
        <f t="shared" si="4"/>
        <v>11.879999999999999</v>
      </c>
      <c r="D187" s="3">
        <v>7.7</v>
      </c>
      <c r="E187" s="3">
        <f t="shared" si="5"/>
        <v>27.720000000000002</v>
      </c>
      <c r="F187" s="4">
        <v>89</v>
      </c>
    </row>
    <row r="188" spans="1:7">
      <c r="A188" s="17" t="s">
        <v>195</v>
      </c>
      <c r="B188" s="18">
        <f>AVERAGE(B3:B187)</f>
        <v>3.622702702702703</v>
      </c>
      <c r="C188" s="18">
        <f>AVERAGE(C3:C187)</f>
        <v>13.041729729729731</v>
      </c>
      <c r="D188" s="18">
        <f>AVERAGE(D3:D187)</f>
        <v>9.2108108108108073</v>
      </c>
      <c r="E188" s="18">
        <f>AVERAGE(E3:E187)</f>
        <v>33.15891891891895</v>
      </c>
      <c r="F188" s="19"/>
    </row>
    <row r="189" spans="1:7">
      <c r="A189" s="17" t="s">
        <v>196</v>
      </c>
      <c r="B189" s="18">
        <f>MEDIAN(B3:B187)</f>
        <v>3.3</v>
      </c>
      <c r="C189" s="18">
        <f>MEDIAN(C3:C187)</f>
        <v>11.879999999999999</v>
      </c>
      <c r="D189" s="18">
        <f>MEDIAN(D3:D187)</f>
        <v>8.6999999999999993</v>
      </c>
      <c r="E189" s="18">
        <f>MEDIAN(E3:E187)</f>
        <v>31.319999999999997</v>
      </c>
      <c r="F189" s="19"/>
    </row>
  </sheetData>
  <sheetProtection formatCells="0" formatColumns="0" formatRows="0" insertColumns="0" insertRows="0" insertHyperlinks="0" deleteColumns="0" deleteRows="0" sort="0" autoFilter="0" pivotTables="0"/>
  <autoFilter ref="A2:F2"/>
  <mergeCells count="2">
    <mergeCell ref="A1:A2"/>
    <mergeCell ref="B1:F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2" sqref="B2"/>
    </sheetView>
  </sheetViews>
  <sheetFormatPr defaultRowHeight="14.4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6B6E73BE1E40468A7DDCC534874A78" ma:contentTypeVersion="16" ma:contentTypeDescription="Create a new document." ma:contentTypeScope="" ma:versionID="c80a216e26b2d3c40def2e4741c3a274">
  <xsd:schema xmlns:xsd="http://www.w3.org/2001/XMLSchema" xmlns:xs="http://www.w3.org/2001/XMLSchema" xmlns:p="http://schemas.microsoft.com/office/2006/metadata/properties" xmlns:ns2="34cf795c-2367-4fd5-ad97-2ce55b22a6a2" xmlns:ns3="a6e05537-0fbd-41cd-bda1-7142d082d70c" targetNamespace="http://schemas.microsoft.com/office/2006/metadata/properties" ma:root="true" ma:fieldsID="f2ea94a4e92f844117aaf1a5c0736fa3" ns2:_="" ns3:_="">
    <xsd:import namespace="34cf795c-2367-4fd5-ad97-2ce55b22a6a2"/>
    <xsd:import namespace="a6e05537-0fbd-41cd-bda1-7142d082d7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f795c-2367-4fd5-ad97-2ce55b22a6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f0b9dad4-8877-4382-917e-fe83f3164c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e05537-0fbd-41cd-bda1-7142d082d70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34bc271-3c2d-4580-b351-6a3053dc8c37}" ma:internalName="TaxCatchAll" ma:showField="CatchAllData" ma:web="a6e05537-0fbd-41cd-bda1-7142d082d7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cf795c-2367-4fd5-ad97-2ce55b22a6a2">
      <Terms xmlns="http://schemas.microsoft.com/office/infopath/2007/PartnerControls"/>
    </lcf76f155ced4ddcb4097134ff3c332f>
    <_Flow_SignoffStatus xmlns="34cf795c-2367-4fd5-ad97-2ce55b22a6a2" xsi:nil="true"/>
    <TaxCatchAll xmlns="a6e05537-0fbd-41cd-bda1-7142d082d70c" xsi:nil="true"/>
  </documentManagement>
</p:properties>
</file>

<file path=customXml/itemProps1.xml><?xml version="1.0" encoding="utf-8"?>
<ds:datastoreItem xmlns:ds="http://schemas.openxmlformats.org/officeDocument/2006/customXml" ds:itemID="{6E12B7C3-A166-4AB0-B1C6-A909319DD763}"/>
</file>

<file path=customXml/itemProps2.xml><?xml version="1.0" encoding="utf-8"?>
<ds:datastoreItem xmlns:ds="http://schemas.openxmlformats.org/officeDocument/2006/customXml" ds:itemID="{402BB005-6C7C-492B-AEF5-3B87E275EDA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B52B2AA-CE9C-4C14-B265-86A8C01BC7F5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b94bc0b4-9893-4984-81c1-4f72d4181d4a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result_list</vt:lpstr>
      <vt:lpstr>Graph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Natalie Newman</cp:lastModifiedBy>
  <dcterms:created xsi:type="dcterms:W3CDTF">2024-02-01T12:57:21Z</dcterms:created>
  <dcterms:modified xsi:type="dcterms:W3CDTF">2024-02-07T09:25:09Z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0x0101005C426560DCE33F4F8A1219200F1608CC</vt:lpwstr>
  </property>
</Properties>
</file>