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://teamsites.capetown.gov.za/sites/coastman/Atlantic Coast/General/Project - Hout Bay Beach Rehab/Hout Bay Dune rehabilitation/weather data/"/>
    </mc:Choice>
  </mc:AlternateContent>
  <bookViews>
    <workbookView xWindow="0" yWindow="0" windowWidth="23040" windowHeight="9192"/>
  </bookViews>
  <sheets>
    <sheet name="result_list" sheetId="1" r:id="rId1"/>
    <sheet name="graph" sheetId="2" r:id="rId2"/>
  </sheets>
  <definedNames>
    <definedName name="_xlnm._FilterDatabase" localSheetId="0" hidden="1">result_list!$A$2:$F$2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4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3" i="1"/>
  <c r="C3" i="1"/>
  <c r="C184" i="1"/>
  <c r="C183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4" i="1"/>
  <c r="D184" i="1"/>
  <c r="B184" i="1"/>
  <c r="D183" i="1"/>
  <c r="B183" i="1"/>
  <c r="E183" i="1" l="1"/>
</calcChain>
</file>

<file path=xl/comments1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sz val="11"/>
            <color rgb="FF000000"/>
            <rFont val="Calibri"/>
          </rPr>
          <t>Statistical mode: Average</t>
        </r>
      </text>
    </comment>
    <comment ref="D2" authorId="0" shapeId="0">
      <text>
        <r>
          <rPr>
            <sz val="11"/>
            <color rgb="FF000000"/>
            <rFont val="Calibri"/>
          </rPr>
          <t>Statistical mode: Max</t>
        </r>
      </text>
    </comment>
    <comment ref="F2" authorId="0" shapeId="0">
      <text>
        <r>
          <rPr>
            <sz val="11"/>
            <color rgb="FF000000"/>
            <rFont val="Calibri"/>
          </rPr>
          <t>Statistical mode: Weighted Average Of Vector</t>
        </r>
      </text>
    </comment>
  </commentList>
</comments>
</file>

<file path=xl/sharedStrings.xml><?xml version="1.0" encoding="utf-8"?>
<sst xmlns="http://schemas.openxmlformats.org/spreadsheetml/2006/main" count="270" uniqueCount="206">
  <si>
    <t>Time</t>
  </si>
  <si>
    <t>Wind</t>
  </si>
  <si>
    <t>Wind Speed(m/s)</t>
  </si>
  <si>
    <t>Wind Gust(m/s)</t>
  </si>
  <si>
    <t>Wind Direction(º)</t>
  </si>
  <si>
    <t>2023-11-01 02:00</t>
  </si>
  <si>
    <t>2023-11-01 06:00</t>
  </si>
  <si>
    <t>2023-11-01 10:00</t>
  </si>
  <si>
    <t>2023-11-01 14:00</t>
  </si>
  <si>
    <t>2023-11-01 18:00</t>
  </si>
  <si>
    <t>2023-11-01 22:00</t>
  </si>
  <si>
    <t>2023-11-02 02:00</t>
  </si>
  <si>
    <t>2023-11-02 06:00</t>
  </si>
  <si>
    <t>2023-11-02 10:00</t>
  </si>
  <si>
    <t>2023-11-02 14:00</t>
  </si>
  <si>
    <t>2023-11-02 18:00</t>
  </si>
  <si>
    <t>2023-11-02 22:00</t>
  </si>
  <si>
    <t>2023-11-03 02:00</t>
  </si>
  <si>
    <t>2023-11-03 06:00</t>
  </si>
  <si>
    <t>2023-11-03 10:00</t>
  </si>
  <si>
    <t>2023-11-03 14:00</t>
  </si>
  <si>
    <t>2023-11-03 18:00</t>
  </si>
  <si>
    <t>2023-11-03 22:00</t>
  </si>
  <si>
    <t>2023-11-04 02:00</t>
  </si>
  <si>
    <t>2023-11-04 06:00</t>
  </si>
  <si>
    <t>2023-11-04 10:00</t>
  </si>
  <si>
    <t>2023-11-04 14:00</t>
  </si>
  <si>
    <t>2023-11-04 18:00</t>
  </si>
  <si>
    <t>2023-11-04 22:00</t>
  </si>
  <si>
    <t>2023-11-05 02:00</t>
  </si>
  <si>
    <t>2023-11-05 06:00</t>
  </si>
  <si>
    <t>2023-11-05 10:00</t>
  </si>
  <si>
    <t>2023-11-05 14:00</t>
  </si>
  <si>
    <t>2023-11-05 18:00</t>
  </si>
  <si>
    <t>2023-11-05 22:00</t>
  </si>
  <si>
    <t>2023-11-06 02:00</t>
  </si>
  <si>
    <t>2023-11-06 06:00</t>
  </si>
  <si>
    <t>2023-11-06 10:00</t>
  </si>
  <si>
    <t>2023-11-06 14:00</t>
  </si>
  <si>
    <t>2023-11-06 18:00</t>
  </si>
  <si>
    <t>2023-11-06 22:00</t>
  </si>
  <si>
    <t>2023-11-07 02:00</t>
  </si>
  <si>
    <t>2023-11-07 06:00</t>
  </si>
  <si>
    <t>2023-11-07 10:00</t>
  </si>
  <si>
    <t>2023-11-07 14:00</t>
  </si>
  <si>
    <t>2023-11-07 18:00</t>
  </si>
  <si>
    <t>2023-11-07 22:00</t>
  </si>
  <si>
    <t>2023-11-08 02:00</t>
  </si>
  <si>
    <t>2023-11-08 06:00</t>
  </si>
  <si>
    <t>2023-11-08 10:00</t>
  </si>
  <si>
    <t>2023-11-08 14:00</t>
  </si>
  <si>
    <t>2023-11-08 18:00</t>
  </si>
  <si>
    <t>2023-11-08 22:00</t>
  </si>
  <si>
    <t>2023-11-09 02:00</t>
  </si>
  <si>
    <t>2023-11-09 06:00</t>
  </si>
  <si>
    <t>2023-11-09 10:00</t>
  </si>
  <si>
    <t>2023-11-09 14:00</t>
  </si>
  <si>
    <t>2023-11-09 18:00</t>
  </si>
  <si>
    <t>2023-11-09 22:00</t>
  </si>
  <si>
    <t>2023-11-10 02:00</t>
  </si>
  <si>
    <t>2023-11-10 06:00</t>
  </si>
  <si>
    <t>2023-11-10 10:00</t>
  </si>
  <si>
    <t>2023-11-10 14:00</t>
  </si>
  <si>
    <t>2023-11-10 18:00</t>
  </si>
  <si>
    <t>2023-11-10 22:00</t>
  </si>
  <si>
    <t>2023-11-11 02:00</t>
  </si>
  <si>
    <t>2023-11-11 06:00</t>
  </si>
  <si>
    <t>2023-11-11 10:00</t>
  </si>
  <si>
    <t>2023-11-11 14:00</t>
  </si>
  <si>
    <t>2023-11-11 18:00</t>
  </si>
  <si>
    <t>2023-11-11 22:00</t>
  </si>
  <si>
    <t>2023-11-12 02:00</t>
  </si>
  <si>
    <t>2023-11-12 06:00</t>
  </si>
  <si>
    <t>2023-11-12 10:00</t>
  </si>
  <si>
    <t>2023-11-12 14:00</t>
  </si>
  <si>
    <t>2023-11-12 18:00</t>
  </si>
  <si>
    <t>2023-11-12 22:00</t>
  </si>
  <si>
    <t>2023-11-13 02:00</t>
  </si>
  <si>
    <t>2023-11-13 06:00</t>
  </si>
  <si>
    <t>2023-11-13 10:00</t>
  </si>
  <si>
    <t>2023-11-13 14:00</t>
  </si>
  <si>
    <t>2023-11-13 18:00</t>
  </si>
  <si>
    <t>2023-11-13 22:00</t>
  </si>
  <si>
    <t>2023-11-14 02:00</t>
  </si>
  <si>
    <t>2023-11-14 06:00</t>
  </si>
  <si>
    <t>2023-11-14 10:00</t>
  </si>
  <si>
    <t>2023-11-14 14:00</t>
  </si>
  <si>
    <t>2023-11-14 18:00</t>
  </si>
  <si>
    <t>2023-11-14 22:00</t>
  </si>
  <si>
    <t>2023-11-15 02:00</t>
  </si>
  <si>
    <t>2023-11-15 06:00</t>
  </si>
  <si>
    <t>2023-11-15 10:00</t>
  </si>
  <si>
    <t>2023-11-15 14:00</t>
  </si>
  <si>
    <t>2023-11-15 18:00</t>
  </si>
  <si>
    <t>2023-11-15 22:00</t>
  </si>
  <si>
    <t>2023-11-16 02:00</t>
  </si>
  <si>
    <t>2023-11-16 06:00</t>
  </si>
  <si>
    <t>2023-11-16 10:00</t>
  </si>
  <si>
    <t>2023-11-16 14:00</t>
  </si>
  <si>
    <t>2023-11-16 18:00</t>
  </si>
  <si>
    <t>2023-11-16 22:00</t>
  </si>
  <si>
    <t>2023-11-17 02:00</t>
  </si>
  <si>
    <t>2023-11-17 06:00</t>
  </si>
  <si>
    <t>2023-11-17 10:00</t>
  </si>
  <si>
    <t>2023-11-17 14:00</t>
  </si>
  <si>
    <t>2023-11-17 18:00</t>
  </si>
  <si>
    <t>2023-11-17 22:00</t>
  </si>
  <si>
    <t>2023-11-18 02:00</t>
  </si>
  <si>
    <t>2023-11-18 06:00</t>
  </si>
  <si>
    <t>2023-11-18 10:00</t>
  </si>
  <si>
    <t>2023-11-18 14:00</t>
  </si>
  <si>
    <t>2023-11-18 18:00</t>
  </si>
  <si>
    <t>2023-11-18 22:00</t>
  </si>
  <si>
    <t>2023-11-19 02:00</t>
  </si>
  <si>
    <t>2023-11-19 06:00</t>
  </si>
  <si>
    <t>2023-11-19 10:00</t>
  </si>
  <si>
    <t>2023-11-19 14:00</t>
  </si>
  <si>
    <t>2023-11-19 18:00</t>
  </si>
  <si>
    <t>2023-11-19 22:00</t>
  </si>
  <si>
    <t>2023-11-20 02:00</t>
  </si>
  <si>
    <t>2023-11-20 06:00</t>
  </si>
  <si>
    <t>2023-11-20 10:00</t>
  </si>
  <si>
    <t>2023-11-20 14:00</t>
  </si>
  <si>
    <t>2023-11-20 18:00</t>
  </si>
  <si>
    <t>2023-11-20 22:00</t>
  </si>
  <si>
    <t>2023-11-21 02:00</t>
  </si>
  <si>
    <t>2023-11-21 06:00</t>
  </si>
  <si>
    <t>2023-11-21 10:00</t>
  </si>
  <si>
    <t>2023-11-21 14:00</t>
  </si>
  <si>
    <t>2023-11-21 18:00</t>
  </si>
  <si>
    <t>2023-11-21 22:00</t>
  </si>
  <si>
    <t>2023-11-22 02:00</t>
  </si>
  <si>
    <t>2023-11-22 06:00</t>
  </si>
  <si>
    <t>2023-11-22 10:00</t>
  </si>
  <si>
    <t>2023-11-22 14:00</t>
  </si>
  <si>
    <t>2023-11-22 18:00</t>
  </si>
  <si>
    <t>2023-11-22 22:00</t>
  </si>
  <si>
    <t>2023-11-23 02:00</t>
  </si>
  <si>
    <t>2023-11-23 06:00</t>
  </si>
  <si>
    <t>2023-11-23 10:00</t>
  </si>
  <si>
    <t>2023-11-23 14:00</t>
  </si>
  <si>
    <t>2023-11-23 18:00</t>
  </si>
  <si>
    <t>2023-11-23 22:00</t>
  </si>
  <si>
    <t>2023-11-24 02:00</t>
  </si>
  <si>
    <t>2023-11-24 06:00</t>
  </si>
  <si>
    <t>2023-11-24 10:00</t>
  </si>
  <si>
    <t>2023-11-24 14:00</t>
  </si>
  <si>
    <t>2023-11-24 18:00</t>
  </si>
  <si>
    <t>2023-11-24 22:00</t>
  </si>
  <si>
    <t>2023-11-25 02:00</t>
  </si>
  <si>
    <t>2023-11-25 06:00</t>
  </si>
  <si>
    <t>2023-11-25 10:00</t>
  </si>
  <si>
    <t>2023-11-25 14:00</t>
  </si>
  <si>
    <t>2023-11-25 18:00</t>
  </si>
  <si>
    <t>2023-11-25 22:00</t>
  </si>
  <si>
    <t>2023-11-26 02:00</t>
  </si>
  <si>
    <t>2023-11-26 06:00</t>
  </si>
  <si>
    <t>2023-11-26 10:00</t>
  </si>
  <si>
    <t>2023-11-26 14:00</t>
  </si>
  <si>
    <t>2023-11-26 18:00</t>
  </si>
  <si>
    <t>2023-11-26 22:00</t>
  </si>
  <si>
    <t>2023-11-27 02:00</t>
  </si>
  <si>
    <t>2023-11-27 06:00</t>
  </si>
  <si>
    <t>2023-11-27 10:00</t>
  </si>
  <si>
    <t>2023-11-27 14:00</t>
  </si>
  <si>
    <t>2023-11-27 18:00</t>
  </si>
  <si>
    <t>2023-11-27 22:00</t>
  </si>
  <si>
    <t>2023-11-28 02:00</t>
  </si>
  <si>
    <t>2023-11-28 06:00</t>
  </si>
  <si>
    <t>2023-11-28 10:00</t>
  </si>
  <si>
    <t>2023-11-28 14:00</t>
  </si>
  <si>
    <t>2023-11-28 18:00</t>
  </si>
  <si>
    <t>2023-11-28 22:00</t>
  </si>
  <si>
    <t>2023-11-29 02:00</t>
  </si>
  <si>
    <t>2023-11-29 06:00</t>
  </si>
  <si>
    <t>2023-11-29 10:00</t>
  </si>
  <si>
    <t>2023-11-29 18:00</t>
  </si>
  <si>
    <t>2023-11-29 22:00</t>
  </si>
  <si>
    <t>2023-11-30 02:00</t>
  </si>
  <si>
    <t>2023-11-30 06:00</t>
  </si>
  <si>
    <t>2023-11-30 10:00</t>
  </si>
  <si>
    <t>2023-11-30 14:00</t>
  </si>
  <si>
    <t>2023-11-30 18:00</t>
  </si>
  <si>
    <t>2023-11-30 22:00</t>
  </si>
  <si>
    <t>SSE</t>
  </si>
  <si>
    <t>SE</t>
  </si>
  <si>
    <t>NNE</t>
  </si>
  <si>
    <t>NNW</t>
  </si>
  <si>
    <t>ENE</t>
  </si>
  <si>
    <t>W</t>
  </si>
  <si>
    <t xml:space="preserve">S </t>
  </si>
  <si>
    <t>S</t>
  </si>
  <si>
    <t>SSW</t>
  </si>
  <si>
    <t>SW</t>
  </si>
  <si>
    <t>ESE</t>
  </si>
  <si>
    <t xml:space="preserve">N </t>
  </si>
  <si>
    <t>N</t>
  </si>
  <si>
    <t>Average</t>
  </si>
  <si>
    <t>Median</t>
  </si>
  <si>
    <t>E</t>
  </si>
  <si>
    <t>Classes</t>
  </si>
  <si>
    <t>0,0 to 7,19m/s = Below average wind gust</t>
  </si>
  <si>
    <t>7,2 to 8,69m/s  = Slightly higher than average</t>
  </si>
  <si>
    <t>above 8,7m/s  = High wind events</t>
  </si>
  <si>
    <t>Wind speed (km/h)</t>
  </si>
  <si>
    <t>Gust speed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</si>
</sst>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>
    <font>
      <sz val="11"/>
      <color rgb="FF000000"/>
      <name val="Calibri"/>
    </font>
    <font>
      <sz val="9"/>
      <color rgb="FF000000"/>
      <name val="宋体"/>
    </font>
    <font>
      <b/>
      <sz val="11"/>
      <color rgb="FF000000"/>
      <name val="宋体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164" fontId="0" fillId="4" borderId="1" xfId="0" applyNumberFormat="1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5" borderId="4" xfId="0" applyFont="1" applyFill="1" applyBorder="1" applyAlignment="1">
      <alignment horizontal="center" vertical="center"/>
    </xf>
    <xf numFmtId="164" fontId="1" fillId="5" borderId="5" xfId="0" applyNumberFormat="1" applyFont="1" applyFill="1" applyBorder="1" applyAlignment="1">
      <alignment horizontal="center" vertical="center"/>
    </xf>
    <xf numFmtId="1" fontId="1" fillId="5" borderId="5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22" fontId="1" fillId="2" borderId="1" xfId="0" applyNumberFormat="1" applyFont="1" applyFill="1" applyBorder="1" applyAlignment="1">
      <alignment horizontal="center" vertical="center"/>
    </xf>
    <xf numFmtId="0" fontId="0" fillId="5" borderId="6" xfId="0" applyFill="1" applyBorder="1"/>
    <xf numFmtId="164" fontId="1" fillId="0" borderId="3" xfId="0" applyNumberFormat="1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190499</xdr:rowOff>
    </xdr:from>
    <xdr:to>
      <xdr:col>23</xdr:col>
      <xdr:colOff>76200</xdr:colOff>
      <xdr:row>26</xdr:row>
      <xdr:rowOff>123824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09BDF6-1B57-D0FD-4FCD-476E693C5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499"/>
          <a:ext cx="13487400" cy="488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94FF"/>
  </sheetPr>
  <dimension ref="A1:J184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J15" sqref="J15"/>
    </sheetView>
  </sheetViews>
  <sheetFormatPr defaultRowHeight="14.4"/>
  <cols>
    <col min="1" max="1" width="21" customWidth="1"/>
    <col min="2" max="2" width="24.5546875" customWidth="1"/>
    <col min="3" max="3" width="26.5546875" customWidth="1"/>
    <col min="4" max="5" width="19" customWidth="1"/>
    <col min="6" max="6" width="22" customWidth="1"/>
    <col min="10" max="10" width="40.88671875" customWidth="1"/>
  </cols>
  <sheetData>
    <row r="1" spans="1:10" ht="30" customHeight="1">
      <c r="A1" s="38" t="s">
        <v>0</v>
      </c>
      <c r="B1" s="38" t="s">
        <v>1</v>
      </c>
      <c r="C1" s="38"/>
      <c r="D1" s="38"/>
      <c r="E1" s="38"/>
      <c r="F1" s="38"/>
    </row>
    <row r="2" spans="1:10" ht="18" customHeight="1">
      <c r="A2" s="38"/>
      <c r="B2" s="1" t="s">
        <v>2</v>
      </c>
      <c r="C2" s="1" t="s">
        <v>204</v>
      </c>
      <c r="D2" s="1" t="s">
        <v>3</v>
      </c>
      <c r="E2" s="1" t="s">
        <v>205</v>
      </c>
      <c r="F2" s="1" t="s">
        <v>4</v>
      </c>
    </row>
    <row r="3" spans="1:10" ht="18" customHeight="1">
      <c r="A3" s="18" t="s">
        <v>5</v>
      </c>
      <c r="B3" s="23">
        <v>3.6</v>
      </c>
      <c r="C3" s="23">
        <f>(B3*3.6)</f>
        <v>12.96</v>
      </c>
      <c r="D3" s="23">
        <v>8.1999999999999993</v>
      </c>
      <c r="E3" s="23">
        <f>(D3*3.6)</f>
        <v>29.52</v>
      </c>
      <c r="F3" s="24">
        <v>79</v>
      </c>
      <c r="G3" s="19" t="s">
        <v>199</v>
      </c>
    </row>
    <row r="4" spans="1:10" ht="18" customHeight="1">
      <c r="A4" s="2" t="s">
        <v>6</v>
      </c>
      <c r="B4" s="3">
        <v>2.1</v>
      </c>
      <c r="C4" s="3">
        <f>(B4*3.6)</f>
        <v>7.5600000000000005</v>
      </c>
      <c r="D4" s="3">
        <v>5.6</v>
      </c>
      <c r="E4" s="31">
        <f t="shared" ref="E4:E67" si="0">(D4*3.6)</f>
        <v>20.16</v>
      </c>
      <c r="F4" s="4">
        <v>92</v>
      </c>
    </row>
    <row r="5" spans="1:10" ht="18" customHeight="1">
      <c r="A5" s="6" t="s">
        <v>7</v>
      </c>
      <c r="B5" s="7">
        <v>1.7</v>
      </c>
      <c r="C5" s="7">
        <f t="shared" ref="C5:C68" si="1">(B5*3.6)</f>
        <v>6.12</v>
      </c>
      <c r="D5" s="7">
        <v>6.6</v>
      </c>
      <c r="E5" s="37">
        <f t="shared" si="0"/>
        <v>23.759999999999998</v>
      </c>
      <c r="F5" s="8">
        <v>52</v>
      </c>
      <c r="J5" s="33" t="s">
        <v>200</v>
      </c>
    </row>
    <row r="6" spans="1:10" ht="18" customHeight="1">
      <c r="A6" s="18" t="s">
        <v>8</v>
      </c>
      <c r="B6" s="23">
        <v>3.1</v>
      </c>
      <c r="C6" s="23">
        <f t="shared" si="1"/>
        <v>11.16</v>
      </c>
      <c r="D6" s="23">
        <v>8.1999999999999993</v>
      </c>
      <c r="E6" s="23">
        <f t="shared" si="0"/>
        <v>29.52</v>
      </c>
      <c r="F6" s="24">
        <v>63</v>
      </c>
      <c r="G6" s="19" t="s">
        <v>188</v>
      </c>
      <c r="J6" s="14" t="s">
        <v>201</v>
      </c>
    </row>
    <row r="7" spans="1:10" ht="18" customHeight="1">
      <c r="A7" s="25" t="s">
        <v>9</v>
      </c>
      <c r="B7" s="5">
        <v>4.0999999999999996</v>
      </c>
      <c r="C7" s="5">
        <f t="shared" si="1"/>
        <v>14.76</v>
      </c>
      <c r="D7" s="5">
        <v>8.6999999999999993</v>
      </c>
      <c r="E7" s="5">
        <f t="shared" si="0"/>
        <v>31.319999999999997</v>
      </c>
      <c r="F7" s="12">
        <v>72</v>
      </c>
      <c r="G7" s="26" t="s">
        <v>188</v>
      </c>
      <c r="J7" s="19" t="s">
        <v>202</v>
      </c>
    </row>
    <row r="8" spans="1:10" ht="18" customHeight="1">
      <c r="A8" s="25" t="s">
        <v>10</v>
      </c>
      <c r="B8" s="5">
        <v>4.0999999999999996</v>
      </c>
      <c r="C8" s="5">
        <f t="shared" si="1"/>
        <v>14.76</v>
      </c>
      <c r="D8" s="5">
        <v>9.1999999999999993</v>
      </c>
      <c r="E8" s="5">
        <f t="shared" si="0"/>
        <v>33.119999999999997</v>
      </c>
      <c r="F8" s="12">
        <v>80</v>
      </c>
      <c r="G8" s="26" t="s">
        <v>188</v>
      </c>
      <c r="J8" s="26" t="s">
        <v>203</v>
      </c>
    </row>
    <row r="9" spans="1:10" ht="18" customHeight="1">
      <c r="A9" s="25" t="s">
        <v>11</v>
      </c>
      <c r="B9" s="5">
        <v>4</v>
      </c>
      <c r="C9" s="5">
        <f t="shared" si="1"/>
        <v>14.4</v>
      </c>
      <c r="D9" s="5">
        <v>9.1999999999999993</v>
      </c>
      <c r="E9" s="5">
        <f t="shared" si="0"/>
        <v>33.119999999999997</v>
      </c>
      <c r="F9" s="12">
        <v>70</v>
      </c>
      <c r="G9" s="26" t="s">
        <v>188</v>
      </c>
    </row>
    <row r="10" spans="1:10" ht="18" customHeight="1">
      <c r="A10" s="9" t="s">
        <v>12</v>
      </c>
      <c r="B10" s="10">
        <v>2.8</v>
      </c>
      <c r="C10" s="10">
        <f t="shared" si="1"/>
        <v>10.08</v>
      </c>
      <c r="D10" s="10">
        <v>7.1</v>
      </c>
      <c r="E10" s="36">
        <f t="shared" si="0"/>
        <v>25.56</v>
      </c>
      <c r="F10" s="11">
        <v>90</v>
      </c>
    </row>
    <row r="11" spans="1:10" ht="18" customHeight="1">
      <c r="A11" s="2" t="s">
        <v>13</v>
      </c>
      <c r="B11" s="3">
        <v>1.1000000000000001</v>
      </c>
      <c r="C11" s="3">
        <f t="shared" si="1"/>
        <v>3.9600000000000004</v>
      </c>
      <c r="D11" s="3">
        <v>4.0999999999999996</v>
      </c>
      <c r="E11" s="31">
        <f t="shared" si="0"/>
        <v>14.76</v>
      </c>
      <c r="F11" s="4">
        <v>299</v>
      </c>
    </row>
    <row r="12" spans="1:10" ht="18" customHeight="1">
      <c r="A12" s="2" t="s">
        <v>14</v>
      </c>
      <c r="B12" s="3">
        <v>1.2</v>
      </c>
      <c r="C12" s="3">
        <f t="shared" si="1"/>
        <v>4.32</v>
      </c>
      <c r="D12" s="3">
        <v>5.0999999999999996</v>
      </c>
      <c r="E12" s="31">
        <f t="shared" si="0"/>
        <v>18.36</v>
      </c>
      <c r="F12" s="4">
        <v>337</v>
      </c>
    </row>
    <row r="13" spans="1:10" ht="18" customHeight="1">
      <c r="A13" s="6" t="s">
        <v>15</v>
      </c>
      <c r="B13" s="7">
        <v>0.8</v>
      </c>
      <c r="C13" s="3">
        <f t="shared" si="1"/>
        <v>2.8800000000000003</v>
      </c>
      <c r="D13" s="7">
        <v>5.0999999999999996</v>
      </c>
      <c r="E13" s="31">
        <f t="shared" si="0"/>
        <v>18.36</v>
      </c>
      <c r="F13" s="8">
        <v>325</v>
      </c>
    </row>
    <row r="14" spans="1:10" ht="18" customHeight="1">
      <c r="A14" s="18" t="s">
        <v>16</v>
      </c>
      <c r="B14" s="23">
        <v>0.9</v>
      </c>
      <c r="C14" s="23">
        <f t="shared" si="1"/>
        <v>3.24</v>
      </c>
      <c r="D14" s="23">
        <v>7.7</v>
      </c>
      <c r="E14" s="23">
        <f t="shared" si="0"/>
        <v>27.720000000000002</v>
      </c>
      <c r="F14" s="24">
        <v>279</v>
      </c>
      <c r="G14" s="19" t="s">
        <v>189</v>
      </c>
    </row>
    <row r="15" spans="1:10" ht="18" customHeight="1">
      <c r="A15" s="25" t="s">
        <v>17</v>
      </c>
      <c r="B15" s="5">
        <v>4.5999999999999996</v>
      </c>
      <c r="C15" s="5">
        <f t="shared" si="1"/>
        <v>16.559999999999999</v>
      </c>
      <c r="D15" s="5">
        <v>10.199999999999999</v>
      </c>
      <c r="E15" s="5">
        <f t="shared" si="0"/>
        <v>36.72</v>
      </c>
      <c r="F15" s="12">
        <v>347</v>
      </c>
      <c r="G15" s="26" t="s">
        <v>187</v>
      </c>
    </row>
    <row r="16" spans="1:10" ht="18" customHeight="1">
      <c r="A16" s="25" t="s">
        <v>18</v>
      </c>
      <c r="B16" s="5">
        <v>4.3</v>
      </c>
      <c r="C16" s="5">
        <f t="shared" si="1"/>
        <v>15.48</v>
      </c>
      <c r="D16" s="5">
        <v>11.7</v>
      </c>
      <c r="E16" s="5">
        <f t="shared" si="0"/>
        <v>42.12</v>
      </c>
      <c r="F16" s="12">
        <v>16</v>
      </c>
      <c r="G16" s="26" t="s">
        <v>186</v>
      </c>
    </row>
    <row r="17" spans="1:7" ht="18" customHeight="1">
      <c r="A17" s="25" t="s">
        <v>19</v>
      </c>
      <c r="B17" s="5">
        <v>7.5</v>
      </c>
      <c r="C17" s="5">
        <f t="shared" si="1"/>
        <v>27</v>
      </c>
      <c r="D17" s="5">
        <v>14.8</v>
      </c>
      <c r="E17" s="5">
        <f t="shared" si="0"/>
        <v>53.28</v>
      </c>
      <c r="F17" s="12">
        <v>344</v>
      </c>
      <c r="G17" s="26" t="s">
        <v>187</v>
      </c>
    </row>
    <row r="18" spans="1:7" ht="18" customHeight="1">
      <c r="A18" s="25" t="s">
        <v>20</v>
      </c>
      <c r="B18" s="5">
        <v>3.9</v>
      </c>
      <c r="C18" s="5">
        <f t="shared" si="1"/>
        <v>14.04</v>
      </c>
      <c r="D18" s="5">
        <v>8.6999999999999993</v>
      </c>
      <c r="E18" s="5">
        <f t="shared" si="0"/>
        <v>31.319999999999997</v>
      </c>
      <c r="F18" s="12">
        <v>340</v>
      </c>
      <c r="G18" s="26" t="s">
        <v>187</v>
      </c>
    </row>
    <row r="19" spans="1:7" ht="18" customHeight="1">
      <c r="A19" s="9" t="s">
        <v>21</v>
      </c>
      <c r="B19" s="10">
        <v>1.6</v>
      </c>
      <c r="C19" s="3">
        <f t="shared" si="1"/>
        <v>5.7600000000000007</v>
      </c>
      <c r="D19" s="10">
        <v>5.6</v>
      </c>
      <c r="E19" s="31">
        <f t="shared" si="0"/>
        <v>20.16</v>
      </c>
      <c r="F19" s="11">
        <v>345</v>
      </c>
    </row>
    <row r="20" spans="1:7" ht="18" customHeight="1">
      <c r="A20" s="2" t="s">
        <v>22</v>
      </c>
      <c r="B20" s="3">
        <v>0.3</v>
      </c>
      <c r="C20" s="3">
        <f t="shared" si="1"/>
        <v>1.08</v>
      </c>
      <c r="D20" s="3">
        <v>1.5</v>
      </c>
      <c r="E20" s="31">
        <f t="shared" si="0"/>
        <v>5.4</v>
      </c>
      <c r="F20" s="4">
        <v>41</v>
      </c>
    </row>
    <row r="21" spans="1:7" ht="18" customHeight="1">
      <c r="A21" s="2" t="s">
        <v>23</v>
      </c>
      <c r="B21" s="3">
        <v>0.1</v>
      </c>
      <c r="C21" s="3">
        <f t="shared" si="1"/>
        <v>0.36000000000000004</v>
      </c>
      <c r="D21" s="3">
        <v>1</v>
      </c>
      <c r="E21" s="31">
        <f t="shared" si="0"/>
        <v>3.6</v>
      </c>
      <c r="F21" s="4">
        <v>52</v>
      </c>
    </row>
    <row r="22" spans="1:7" ht="18" customHeight="1">
      <c r="A22" s="2" t="s">
        <v>24</v>
      </c>
      <c r="B22" s="3">
        <v>0.4</v>
      </c>
      <c r="C22" s="3">
        <f t="shared" si="1"/>
        <v>1.4400000000000002</v>
      </c>
      <c r="D22" s="3">
        <v>1.5</v>
      </c>
      <c r="E22" s="31">
        <f t="shared" si="0"/>
        <v>5.4</v>
      </c>
      <c r="F22" s="4">
        <v>347</v>
      </c>
    </row>
    <row r="23" spans="1:7" ht="18" customHeight="1">
      <c r="A23" s="2" t="s">
        <v>25</v>
      </c>
      <c r="B23" s="3">
        <v>1</v>
      </c>
      <c r="C23" s="3">
        <f t="shared" si="1"/>
        <v>3.6</v>
      </c>
      <c r="D23" s="3">
        <v>2.6</v>
      </c>
      <c r="E23" s="31">
        <f t="shared" si="0"/>
        <v>9.3600000000000012</v>
      </c>
      <c r="F23" s="4">
        <v>266</v>
      </c>
    </row>
    <row r="24" spans="1:7" ht="18" customHeight="1">
      <c r="A24" s="2" t="s">
        <v>26</v>
      </c>
      <c r="B24" s="3">
        <v>2.4</v>
      </c>
      <c r="C24" s="3">
        <f t="shared" si="1"/>
        <v>8.64</v>
      </c>
      <c r="D24" s="3">
        <v>5.6</v>
      </c>
      <c r="E24" s="31">
        <f t="shared" si="0"/>
        <v>20.16</v>
      </c>
      <c r="F24" s="4">
        <v>202</v>
      </c>
    </row>
    <row r="25" spans="1:7" ht="18" customHeight="1">
      <c r="A25" s="2" t="s">
        <v>27</v>
      </c>
      <c r="B25" s="3">
        <v>2.6</v>
      </c>
      <c r="C25" s="3">
        <f t="shared" si="1"/>
        <v>9.3600000000000012</v>
      </c>
      <c r="D25" s="3">
        <v>6.1</v>
      </c>
      <c r="E25" s="31">
        <f t="shared" si="0"/>
        <v>21.96</v>
      </c>
      <c r="F25" s="4">
        <v>158</v>
      </c>
    </row>
    <row r="26" spans="1:7" ht="18" customHeight="1">
      <c r="A26" s="2" t="s">
        <v>28</v>
      </c>
      <c r="B26" s="3">
        <v>2.6</v>
      </c>
      <c r="C26" s="3">
        <f t="shared" si="1"/>
        <v>9.3600000000000012</v>
      </c>
      <c r="D26" s="3">
        <v>6.1</v>
      </c>
      <c r="E26" s="31">
        <f t="shared" si="0"/>
        <v>21.96</v>
      </c>
      <c r="F26" s="4">
        <v>154</v>
      </c>
    </row>
    <row r="27" spans="1:7" ht="18" customHeight="1">
      <c r="A27" s="2" t="s">
        <v>29</v>
      </c>
      <c r="B27" s="3">
        <v>1.8</v>
      </c>
      <c r="C27" s="3">
        <f t="shared" si="1"/>
        <v>6.48</v>
      </c>
      <c r="D27" s="3">
        <v>5.6</v>
      </c>
      <c r="E27" s="31">
        <f t="shared" si="0"/>
        <v>20.16</v>
      </c>
      <c r="F27" s="4">
        <v>172</v>
      </c>
    </row>
    <row r="28" spans="1:7" ht="18" customHeight="1">
      <c r="A28" s="2" t="s">
        <v>30</v>
      </c>
      <c r="B28" s="3">
        <v>2.9</v>
      </c>
      <c r="C28" s="3">
        <f t="shared" si="1"/>
        <v>10.44</v>
      </c>
      <c r="D28" s="3">
        <v>7.1</v>
      </c>
      <c r="E28" s="31">
        <f t="shared" si="0"/>
        <v>25.56</v>
      </c>
      <c r="F28" s="4">
        <v>107</v>
      </c>
    </row>
    <row r="29" spans="1:7" ht="18" customHeight="1">
      <c r="A29" s="6" t="s">
        <v>31</v>
      </c>
      <c r="B29" s="7">
        <v>1.4</v>
      </c>
      <c r="C29" s="3">
        <f t="shared" si="1"/>
        <v>5.04</v>
      </c>
      <c r="D29" s="7">
        <v>5.0999999999999996</v>
      </c>
      <c r="E29" s="31">
        <f t="shared" si="0"/>
        <v>18.36</v>
      </c>
      <c r="F29" s="8">
        <v>277</v>
      </c>
    </row>
    <row r="30" spans="1:7" ht="18" customHeight="1">
      <c r="A30" s="18" t="s">
        <v>32</v>
      </c>
      <c r="B30" s="23">
        <v>2.4</v>
      </c>
      <c r="C30" s="23">
        <f t="shared" si="1"/>
        <v>8.64</v>
      </c>
      <c r="D30" s="23">
        <v>8.1999999999999993</v>
      </c>
      <c r="E30" s="23">
        <f t="shared" si="0"/>
        <v>29.52</v>
      </c>
      <c r="F30" s="24">
        <v>154</v>
      </c>
      <c r="G30" s="19" t="s">
        <v>184</v>
      </c>
    </row>
    <row r="31" spans="1:7" ht="18" customHeight="1">
      <c r="A31" s="25" t="s">
        <v>33</v>
      </c>
      <c r="B31" s="5">
        <v>3.6</v>
      </c>
      <c r="C31" s="5">
        <f t="shared" si="1"/>
        <v>12.96</v>
      </c>
      <c r="D31" s="5">
        <v>8.6999999999999993</v>
      </c>
      <c r="E31" s="5">
        <f t="shared" si="0"/>
        <v>31.319999999999997</v>
      </c>
      <c r="F31" s="12">
        <v>168</v>
      </c>
      <c r="G31" s="26" t="s">
        <v>184</v>
      </c>
    </row>
    <row r="32" spans="1:7" ht="18" customHeight="1">
      <c r="A32" s="9" t="s">
        <v>34</v>
      </c>
      <c r="B32" s="10">
        <v>1.6</v>
      </c>
      <c r="C32" s="3">
        <f t="shared" si="1"/>
        <v>5.7600000000000007</v>
      </c>
      <c r="D32" s="10">
        <v>6.6</v>
      </c>
      <c r="E32" s="31">
        <f t="shared" si="0"/>
        <v>23.759999999999998</v>
      </c>
      <c r="F32" s="11">
        <v>151</v>
      </c>
    </row>
    <row r="33" spans="1:7" ht="18" customHeight="1">
      <c r="A33" s="2" t="s">
        <v>35</v>
      </c>
      <c r="B33" s="3">
        <v>1.9</v>
      </c>
      <c r="C33" s="3">
        <f t="shared" si="1"/>
        <v>6.84</v>
      </c>
      <c r="D33" s="3">
        <v>6.6</v>
      </c>
      <c r="E33" s="31">
        <f t="shared" si="0"/>
        <v>23.759999999999998</v>
      </c>
      <c r="F33" s="4">
        <v>157</v>
      </c>
    </row>
    <row r="34" spans="1:7" ht="18" customHeight="1">
      <c r="A34" s="2" t="s">
        <v>36</v>
      </c>
      <c r="B34" s="3">
        <v>1.1000000000000001</v>
      </c>
      <c r="C34" s="3">
        <f t="shared" si="1"/>
        <v>3.9600000000000004</v>
      </c>
      <c r="D34" s="3">
        <v>5.0999999999999996</v>
      </c>
      <c r="E34" s="31">
        <f t="shared" si="0"/>
        <v>18.36</v>
      </c>
      <c r="F34" s="4">
        <v>303</v>
      </c>
    </row>
    <row r="35" spans="1:7" ht="18" customHeight="1">
      <c r="A35" s="2" t="s">
        <v>37</v>
      </c>
      <c r="B35" s="3">
        <v>2</v>
      </c>
      <c r="C35" s="3">
        <f t="shared" si="1"/>
        <v>7.2</v>
      </c>
      <c r="D35" s="3">
        <v>4.5999999999999996</v>
      </c>
      <c r="E35" s="31">
        <f t="shared" si="0"/>
        <v>16.559999999999999</v>
      </c>
      <c r="F35" s="4">
        <v>339</v>
      </c>
    </row>
    <row r="36" spans="1:7" ht="18" customHeight="1">
      <c r="A36" s="6" t="s">
        <v>38</v>
      </c>
      <c r="B36" s="7">
        <v>2.9</v>
      </c>
      <c r="C36" s="3">
        <f t="shared" si="1"/>
        <v>10.44</v>
      </c>
      <c r="D36" s="7">
        <v>6.6</v>
      </c>
      <c r="E36" s="31">
        <f t="shared" si="0"/>
        <v>23.759999999999998</v>
      </c>
      <c r="F36" s="8">
        <v>335</v>
      </c>
    </row>
    <row r="37" spans="1:7" ht="18" customHeight="1">
      <c r="A37" s="18" t="s">
        <v>39</v>
      </c>
      <c r="B37" s="23">
        <v>3.9</v>
      </c>
      <c r="C37" s="23">
        <f t="shared" si="1"/>
        <v>14.04</v>
      </c>
      <c r="D37" s="23">
        <v>7.7</v>
      </c>
      <c r="E37" s="23">
        <f t="shared" si="0"/>
        <v>27.720000000000002</v>
      </c>
      <c r="F37" s="24">
        <v>337</v>
      </c>
      <c r="G37" s="14" t="s">
        <v>187</v>
      </c>
    </row>
    <row r="38" spans="1:7" ht="18" customHeight="1">
      <c r="A38" s="9" t="s">
        <v>40</v>
      </c>
      <c r="B38" s="10">
        <v>2.7</v>
      </c>
      <c r="C38" s="3">
        <f t="shared" si="1"/>
        <v>9.7200000000000006</v>
      </c>
      <c r="D38" s="10">
        <v>7.1</v>
      </c>
      <c r="E38" s="31">
        <f t="shared" si="0"/>
        <v>25.56</v>
      </c>
      <c r="F38" s="11">
        <v>341</v>
      </c>
    </row>
    <row r="39" spans="1:7" ht="18" customHeight="1">
      <c r="A39" s="2" t="s">
        <v>41</v>
      </c>
      <c r="B39" s="3">
        <v>1.6</v>
      </c>
      <c r="C39" s="3">
        <f t="shared" si="1"/>
        <v>5.7600000000000007</v>
      </c>
      <c r="D39" s="3">
        <v>5.0999999999999996</v>
      </c>
      <c r="E39" s="31">
        <f t="shared" si="0"/>
        <v>18.36</v>
      </c>
      <c r="F39" s="4">
        <v>313</v>
      </c>
    </row>
    <row r="40" spans="1:7" ht="18" customHeight="1">
      <c r="A40" s="2" t="s">
        <v>42</v>
      </c>
      <c r="B40" s="3">
        <v>0.8</v>
      </c>
      <c r="C40" s="3">
        <f t="shared" si="1"/>
        <v>2.8800000000000003</v>
      </c>
      <c r="D40" s="3">
        <v>4.0999999999999996</v>
      </c>
      <c r="E40" s="31">
        <f t="shared" si="0"/>
        <v>14.76</v>
      </c>
      <c r="F40" s="4">
        <v>296</v>
      </c>
    </row>
    <row r="41" spans="1:7" ht="18" customHeight="1">
      <c r="A41" s="2" t="s">
        <v>43</v>
      </c>
      <c r="B41" s="3">
        <v>2.5</v>
      </c>
      <c r="C41" s="3">
        <f t="shared" si="1"/>
        <v>9</v>
      </c>
      <c r="D41" s="3">
        <v>6.6</v>
      </c>
      <c r="E41" s="31">
        <f t="shared" si="0"/>
        <v>23.759999999999998</v>
      </c>
      <c r="F41" s="4">
        <v>214</v>
      </c>
    </row>
    <row r="42" spans="1:7" ht="18" customHeight="1">
      <c r="A42" s="2" t="s">
        <v>44</v>
      </c>
      <c r="B42" s="3">
        <v>2.5</v>
      </c>
      <c r="C42" s="3">
        <f t="shared" si="1"/>
        <v>9</v>
      </c>
      <c r="D42" s="3">
        <v>5.6</v>
      </c>
      <c r="E42" s="31">
        <f t="shared" si="0"/>
        <v>20.16</v>
      </c>
      <c r="F42" s="4">
        <v>206</v>
      </c>
    </row>
    <row r="43" spans="1:7" ht="18" customHeight="1">
      <c r="A43" s="2" t="s">
        <v>45</v>
      </c>
      <c r="B43" s="3">
        <v>1.6</v>
      </c>
      <c r="C43" s="3">
        <f t="shared" si="1"/>
        <v>5.7600000000000007</v>
      </c>
      <c r="D43" s="3">
        <v>5.0999999999999996</v>
      </c>
      <c r="E43" s="31">
        <f t="shared" si="0"/>
        <v>18.36</v>
      </c>
      <c r="F43" s="4">
        <v>158</v>
      </c>
    </row>
    <row r="44" spans="1:7" ht="18" customHeight="1">
      <c r="A44" s="2" t="s">
        <v>46</v>
      </c>
      <c r="B44" s="3">
        <v>1.3</v>
      </c>
      <c r="C44" s="3">
        <f t="shared" si="1"/>
        <v>4.6800000000000006</v>
      </c>
      <c r="D44" s="3">
        <v>4.0999999999999996</v>
      </c>
      <c r="E44" s="31">
        <f t="shared" si="0"/>
        <v>14.76</v>
      </c>
      <c r="F44" s="4">
        <v>151</v>
      </c>
    </row>
    <row r="45" spans="1:7" ht="18" customHeight="1">
      <c r="A45" s="2" t="s">
        <v>47</v>
      </c>
      <c r="B45" s="3">
        <v>1.5</v>
      </c>
      <c r="C45" s="3">
        <f t="shared" si="1"/>
        <v>5.4</v>
      </c>
      <c r="D45" s="3">
        <v>3.1</v>
      </c>
      <c r="E45" s="31">
        <f t="shared" si="0"/>
        <v>11.16</v>
      </c>
      <c r="F45" s="4">
        <v>142</v>
      </c>
    </row>
    <row r="46" spans="1:7" ht="18" customHeight="1">
      <c r="A46" s="6" t="s">
        <v>48</v>
      </c>
      <c r="B46" s="7">
        <v>2.1</v>
      </c>
      <c r="C46" s="3">
        <f t="shared" si="1"/>
        <v>7.5600000000000005</v>
      </c>
      <c r="D46" s="7">
        <v>5.6</v>
      </c>
      <c r="E46" s="31">
        <f t="shared" si="0"/>
        <v>20.16</v>
      </c>
      <c r="F46" s="8">
        <v>148</v>
      </c>
    </row>
    <row r="47" spans="1:7" ht="18" customHeight="1">
      <c r="A47" s="18" t="s">
        <v>49</v>
      </c>
      <c r="B47" s="23">
        <v>3.3</v>
      </c>
      <c r="C47" s="23">
        <f t="shared" si="1"/>
        <v>11.879999999999999</v>
      </c>
      <c r="D47" s="23">
        <v>7.7</v>
      </c>
      <c r="E47" s="23">
        <f t="shared" si="0"/>
        <v>27.720000000000002</v>
      </c>
      <c r="F47" s="24">
        <v>190</v>
      </c>
      <c r="G47" s="19" t="s">
        <v>184</v>
      </c>
    </row>
    <row r="48" spans="1:7" ht="18" customHeight="1">
      <c r="A48" s="18" t="s">
        <v>50</v>
      </c>
      <c r="B48" s="23">
        <v>3.8</v>
      </c>
      <c r="C48" s="23">
        <f t="shared" si="1"/>
        <v>13.68</v>
      </c>
      <c r="D48" s="23">
        <v>8.6999999999999993</v>
      </c>
      <c r="E48" s="23">
        <f t="shared" si="0"/>
        <v>31.319999999999997</v>
      </c>
      <c r="F48" s="24">
        <v>184</v>
      </c>
      <c r="G48" s="19" t="s">
        <v>184</v>
      </c>
    </row>
    <row r="49" spans="1:7" ht="18" customHeight="1">
      <c r="A49" s="18" t="s">
        <v>51</v>
      </c>
      <c r="B49" s="23">
        <v>3</v>
      </c>
      <c r="C49" s="23">
        <f t="shared" si="1"/>
        <v>10.8</v>
      </c>
      <c r="D49" s="23">
        <v>7.7</v>
      </c>
      <c r="E49" s="23">
        <f t="shared" si="0"/>
        <v>27.720000000000002</v>
      </c>
      <c r="F49" s="24">
        <v>149</v>
      </c>
      <c r="G49" s="19" t="s">
        <v>184</v>
      </c>
    </row>
    <row r="50" spans="1:7" ht="18" customHeight="1">
      <c r="A50" s="25" t="s">
        <v>52</v>
      </c>
      <c r="B50" s="5">
        <v>3.8</v>
      </c>
      <c r="C50" s="5">
        <f t="shared" si="1"/>
        <v>13.68</v>
      </c>
      <c r="D50" s="5">
        <v>8.6999999999999993</v>
      </c>
      <c r="E50" s="5">
        <f t="shared" si="0"/>
        <v>31.319999999999997</v>
      </c>
      <c r="F50" s="12">
        <v>159</v>
      </c>
      <c r="G50" s="26" t="s">
        <v>184</v>
      </c>
    </row>
    <row r="51" spans="1:7" ht="18" customHeight="1">
      <c r="A51" s="25" t="s">
        <v>53</v>
      </c>
      <c r="B51" s="5">
        <v>3.1</v>
      </c>
      <c r="C51" s="5">
        <f t="shared" si="1"/>
        <v>11.16</v>
      </c>
      <c r="D51" s="5">
        <v>8.6999999999999993</v>
      </c>
      <c r="E51" s="5">
        <f t="shared" si="0"/>
        <v>31.319999999999997</v>
      </c>
      <c r="F51" s="12">
        <v>153</v>
      </c>
      <c r="G51" s="26" t="s">
        <v>184</v>
      </c>
    </row>
    <row r="52" spans="1:7" ht="18" customHeight="1">
      <c r="A52" s="25" t="s">
        <v>54</v>
      </c>
      <c r="B52" s="5">
        <v>4.4000000000000004</v>
      </c>
      <c r="C52" s="5">
        <f t="shared" si="1"/>
        <v>15.840000000000002</v>
      </c>
      <c r="D52" s="5">
        <v>9.6999999999999993</v>
      </c>
      <c r="E52" s="5">
        <f t="shared" si="0"/>
        <v>34.92</v>
      </c>
      <c r="F52" s="12">
        <v>149</v>
      </c>
      <c r="G52" s="26" t="s">
        <v>184</v>
      </c>
    </row>
    <row r="53" spans="1:7" ht="18" customHeight="1">
      <c r="A53" s="25" t="s">
        <v>55</v>
      </c>
      <c r="B53" s="5">
        <v>4.2</v>
      </c>
      <c r="C53" s="5">
        <f t="shared" si="1"/>
        <v>15.120000000000001</v>
      </c>
      <c r="D53" s="5">
        <v>10.199999999999999</v>
      </c>
      <c r="E53" s="5">
        <f t="shared" si="0"/>
        <v>36.72</v>
      </c>
      <c r="F53" s="12">
        <v>178</v>
      </c>
      <c r="G53" s="26" t="s">
        <v>190</v>
      </c>
    </row>
    <row r="54" spans="1:7" ht="18" customHeight="1">
      <c r="A54" s="25" t="s">
        <v>56</v>
      </c>
      <c r="B54" s="5">
        <v>4.4000000000000004</v>
      </c>
      <c r="C54" s="5">
        <f t="shared" si="1"/>
        <v>15.840000000000002</v>
      </c>
      <c r="D54" s="5">
        <v>10.199999999999999</v>
      </c>
      <c r="E54" s="5">
        <f t="shared" si="0"/>
        <v>36.72</v>
      </c>
      <c r="F54" s="12">
        <v>179</v>
      </c>
      <c r="G54" s="26" t="s">
        <v>191</v>
      </c>
    </row>
    <row r="55" spans="1:7" ht="18" customHeight="1">
      <c r="A55" s="25" t="s">
        <v>57</v>
      </c>
      <c r="B55" s="5">
        <v>4</v>
      </c>
      <c r="C55" s="5">
        <f t="shared" si="1"/>
        <v>14.4</v>
      </c>
      <c r="D55" s="5">
        <v>10.199999999999999</v>
      </c>
      <c r="E55" s="5">
        <f t="shared" si="0"/>
        <v>36.72</v>
      </c>
      <c r="F55" s="12">
        <v>145</v>
      </c>
      <c r="G55" s="26" t="s">
        <v>185</v>
      </c>
    </row>
    <row r="56" spans="1:7" ht="18" customHeight="1">
      <c r="A56" s="9" t="s">
        <v>58</v>
      </c>
      <c r="B56" s="10">
        <v>0.3</v>
      </c>
      <c r="C56" s="3">
        <f t="shared" si="1"/>
        <v>1.08</v>
      </c>
      <c r="D56" s="10">
        <v>1</v>
      </c>
      <c r="E56" s="31">
        <f t="shared" si="0"/>
        <v>3.6</v>
      </c>
      <c r="F56" s="11">
        <v>247</v>
      </c>
    </row>
    <row r="57" spans="1:7" ht="18" customHeight="1">
      <c r="A57" s="6" t="s">
        <v>59</v>
      </c>
      <c r="B57" s="7">
        <v>0.6</v>
      </c>
      <c r="C57" s="3">
        <f t="shared" si="1"/>
        <v>2.16</v>
      </c>
      <c r="D57" s="7">
        <v>3.1</v>
      </c>
      <c r="E57" s="31">
        <f t="shared" si="0"/>
        <v>11.16</v>
      </c>
      <c r="F57" s="8">
        <v>219</v>
      </c>
    </row>
    <row r="58" spans="1:7" ht="18" customHeight="1">
      <c r="A58" s="25" t="s">
        <v>60</v>
      </c>
      <c r="B58" s="5">
        <v>2.7</v>
      </c>
      <c r="C58" s="5">
        <f t="shared" si="1"/>
        <v>9.7200000000000006</v>
      </c>
      <c r="D58" s="5">
        <v>10.7</v>
      </c>
      <c r="E58" s="5">
        <f t="shared" si="0"/>
        <v>38.519999999999996</v>
      </c>
      <c r="F58" s="12">
        <v>192</v>
      </c>
      <c r="G58" s="26" t="s">
        <v>192</v>
      </c>
    </row>
    <row r="59" spans="1:7" ht="18" customHeight="1">
      <c r="A59" s="25" t="s">
        <v>61</v>
      </c>
      <c r="B59" s="5">
        <v>4</v>
      </c>
      <c r="C59" s="5">
        <f t="shared" si="1"/>
        <v>14.4</v>
      </c>
      <c r="D59" s="5">
        <v>9.1999999999999993</v>
      </c>
      <c r="E59" s="5">
        <f t="shared" si="0"/>
        <v>33.119999999999997</v>
      </c>
      <c r="F59" s="12">
        <v>194</v>
      </c>
      <c r="G59" s="26" t="s">
        <v>192</v>
      </c>
    </row>
    <row r="60" spans="1:7" ht="18" customHeight="1">
      <c r="A60" s="18" t="s">
        <v>62</v>
      </c>
      <c r="B60" s="23">
        <v>2.9</v>
      </c>
      <c r="C60" s="23">
        <f t="shared" si="1"/>
        <v>10.44</v>
      </c>
      <c r="D60" s="23">
        <v>7.7</v>
      </c>
      <c r="E60" s="23">
        <f t="shared" si="0"/>
        <v>27.720000000000002</v>
      </c>
      <c r="F60" s="24">
        <v>181</v>
      </c>
      <c r="G60" s="19" t="s">
        <v>191</v>
      </c>
    </row>
    <row r="61" spans="1:7" ht="18" customHeight="1">
      <c r="A61" s="9" t="s">
        <v>63</v>
      </c>
      <c r="B61" s="10">
        <v>1.8</v>
      </c>
      <c r="C61" s="3">
        <f t="shared" si="1"/>
        <v>6.48</v>
      </c>
      <c r="D61" s="10">
        <v>6.6</v>
      </c>
      <c r="E61" s="31">
        <f t="shared" si="0"/>
        <v>23.759999999999998</v>
      </c>
      <c r="F61" s="11">
        <v>160</v>
      </c>
    </row>
    <row r="62" spans="1:7" ht="18" customHeight="1">
      <c r="A62" s="2" t="s">
        <v>64</v>
      </c>
      <c r="B62" s="3">
        <v>1.8</v>
      </c>
      <c r="C62" s="3">
        <f t="shared" si="1"/>
        <v>6.48</v>
      </c>
      <c r="D62" s="3">
        <v>5.0999999999999996</v>
      </c>
      <c r="E62" s="31">
        <f t="shared" si="0"/>
        <v>18.36</v>
      </c>
      <c r="F62" s="4">
        <v>152</v>
      </c>
    </row>
    <row r="63" spans="1:7" ht="18" customHeight="1">
      <c r="A63" s="2" t="s">
        <v>65</v>
      </c>
      <c r="B63" s="3">
        <v>0.8</v>
      </c>
      <c r="C63" s="3">
        <f t="shared" si="1"/>
        <v>2.8800000000000003</v>
      </c>
      <c r="D63" s="3">
        <v>4.5999999999999996</v>
      </c>
      <c r="E63" s="31">
        <f t="shared" si="0"/>
        <v>16.559999999999999</v>
      </c>
      <c r="F63" s="4">
        <v>134</v>
      </c>
    </row>
    <row r="64" spans="1:7" ht="18" customHeight="1">
      <c r="A64" s="2" t="s">
        <v>66</v>
      </c>
      <c r="B64" s="3">
        <v>0.7</v>
      </c>
      <c r="C64" s="3">
        <f t="shared" si="1"/>
        <v>2.52</v>
      </c>
      <c r="D64" s="3">
        <v>2.6</v>
      </c>
      <c r="E64" s="31">
        <f t="shared" si="0"/>
        <v>9.3600000000000012</v>
      </c>
      <c r="F64" s="4">
        <v>268</v>
      </c>
    </row>
    <row r="65" spans="1:7" ht="18" customHeight="1">
      <c r="A65" s="2" t="s">
        <v>67</v>
      </c>
      <c r="B65" s="3">
        <v>1</v>
      </c>
      <c r="C65" s="3">
        <f t="shared" si="1"/>
        <v>3.6</v>
      </c>
      <c r="D65" s="3">
        <v>4.0999999999999996</v>
      </c>
      <c r="E65" s="31">
        <f t="shared" si="0"/>
        <v>14.76</v>
      </c>
      <c r="F65" s="4">
        <v>290</v>
      </c>
    </row>
    <row r="66" spans="1:7" ht="18" customHeight="1">
      <c r="A66" s="6" t="s">
        <v>68</v>
      </c>
      <c r="B66" s="7">
        <v>1.3</v>
      </c>
      <c r="C66" s="7">
        <f t="shared" si="1"/>
        <v>4.6800000000000006</v>
      </c>
      <c r="D66" s="7">
        <v>4.0999999999999996</v>
      </c>
      <c r="E66" s="37">
        <f t="shared" si="0"/>
        <v>14.76</v>
      </c>
      <c r="F66" s="8">
        <v>290</v>
      </c>
    </row>
    <row r="67" spans="1:7" ht="18" customHeight="1">
      <c r="A67" s="25" t="s">
        <v>69</v>
      </c>
      <c r="B67" s="5">
        <v>2.5</v>
      </c>
      <c r="C67" s="5">
        <f t="shared" si="1"/>
        <v>9</v>
      </c>
      <c r="D67" s="5">
        <v>11.7</v>
      </c>
      <c r="E67" s="5">
        <f t="shared" si="0"/>
        <v>42.12</v>
      </c>
      <c r="F67" s="12">
        <v>235</v>
      </c>
      <c r="G67" s="26" t="s">
        <v>193</v>
      </c>
    </row>
    <row r="68" spans="1:7" ht="18" customHeight="1">
      <c r="A68" s="9" t="s">
        <v>70</v>
      </c>
      <c r="B68" s="10">
        <v>1.8</v>
      </c>
      <c r="C68" s="10">
        <f t="shared" si="1"/>
        <v>6.48</v>
      </c>
      <c r="D68" s="10">
        <v>6.6</v>
      </c>
      <c r="E68" s="36">
        <f t="shared" ref="E68:E131" si="2">(D68*3.6)</f>
        <v>23.759999999999998</v>
      </c>
      <c r="F68" s="11">
        <v>182</v>
      </c>
    </row>
    <row r="69" spans="1:7" ht="18" customHeight="1">
      <c r="A69" s="2" t="s">
        <v>71</v>
      </c>
      <c r="B69" s="3">
        <v>1.5</v>
      </c>
      <c r="C69" s="3">
        <f t="shared" ref="C69:C132" si="3">(B69*3.6)</f>
        <v>5.4</v>
      </c>
      <c r="D69" s="3">
        <v>4.0999999999999996</v>
      </c>
      <c r="E69" s="31">
        <f t="shared" si="2"/>
        <v>14.76</v>
      </c>
      <c r="F69" s="4">
        <v>170</v>
      </c>
    </row>
    <row r="70" spans="1:7" ht="18" customHeight="1">
      <c r="A70" s="6" t="s">
        <v>72</v>
      </c>
      <c r="B70" s="7">
        <v>1.6</v>
      </c>
      <c r="C70" s="3">
        <f t="shared" si="3"/>
        <v>5.7600000000000007</v>
      </c>
      <c r="D70" s="7">
        <v>5.0999999999999996</v>
      </c>
      <c r="E70" s="31">
        <f t="shared" si="2"/>
        <v>18.36</v>
      </c>
      <c r="F70" s="8">
        <v>187</v>
      </c>
    </row>
    <row r="71" spans="1:7" ht="18" customHeight="1">
      <c r="A71" s="18" t="s">
        <v>73</v>
      </c>
      <c r="B71" s="23">
        <v>3.5</v>
      </c>
      <c r="C71" s="23">
        <f t="shared" si="3"/>
        <v>12.6</v>
      </c>
      <c r="D71" s="23">
        <v>7.7</v>
      </c>
      <c r="E71" s="23">
        <f t="shared" si="2"/>
        <v>27.720000000000002</v>
      </c>
      <c r="F71" s="24">
        <v>208</v>
      </c>
      <c r="G71" s="19" t="s">
        <v>192</v>
      </c>
    </row>
    <row r="72" spans="1:7" ht="18" customHeight="1">
      <c r="A72" s="18" t="s">
        <v>74</v>
      </c>
      <c r="B72" s="23">
        <v>3.5</v>
      </c>
      <c r="C72" s="23">
        <f t="shared" si="3"/>
        <v>12.6</v>
      </c>
      <c r="D72" s="23">
        <v>8.1999999999999993</v>
      </c>
      <c r="E72" s="23">
        <f t="shared" si="2"/>
        <v>29.52</v>
      </c>
      <c r="F72" s="24">
        <v>186</v>
      </c>
      <c r="G72" s="19" t="s">
        <v>191</v>
      </c>
    </row>
    <row r="73" spans="1:7" ht="18" customHeight="1">
      <c r="A73" s="25" t="s">
        <v>75</v>
      </c>
      <c r="B73" s="5">
        <v>4.0999999999999996</v>
      </c>
      <c r="C73" s="5">
        <f t="shared" si="3"/>
        <v>14.76</v>
      </c>
      <c r="D73" s="5">
        <v>10.199999999999999</v>
      </c>
      <c r="E73" s="5">
        <f t="shared" si="2"/>
        <v>36.72</v>
      </c>
      <c r="F73" s="12">
        <v>158</v>
      </c>
      <c r="G73" s="26" t="s">
        <v>184</v>
      </c>
    </row>
    <row r="74" spans="1:7" ht="18" customHeight="1">
      <c r="A74" s="25" t="s">
        <v>76</v>
      </c>
      <c r="B74" s="5">
        <v>5.3</v>
      </c>
      <c r="C74" s="5">
        <f t="shared" si="3"/>
        <v>19.079999999999998</v>
      </c>
      <c r="D74" s="5">
        <v>10.7</v>
      </c>
      <c r="E74" s="5">
        <f t="shared" si="2"/>
        <v>38.519999999999996</v>
      </c>
      <c r="F74" s="12">
        <v>147</v>
      </c>
      <c r="G74" s="26" t="s">
        <v>184</v>
      </c>
    </row>
    <row r="75" spans="1:7" ht="18" customHeight="1">
      <c r="A75" s="25" t="s">
        <v>77</v>
      </c>
      <c r="B75" s="5">
        <v>5.0999999999999996</v>
      </c>
      <c r="C75" s="5">
        <f t="shared" si="3"/>
        <v>18.36</v>
      </c>
      <c r="D75" s="5">
        <v>12.8</v>
      </c>
      <c r="E75" s="5">
        <f t="shared" si="2"/>
        <v>46.080000000000005</v>
      </c>
      <c r="F75" s="12">
        <v>134</v>
      </c>
      <c r="G75" s="26" t="s">
        <v>185</v>
      </c>
    </row>
    <row r="76" spans="1:7" ht="18" customHeight="1">
      <c r="A76" s="25" t="s">
        <v>78</v>
      </c>
      <c r="B76" s="5">
        <v>6.2</v>
      </c>
      <c r="C76" s="5">
        <f t="shared" si="3"/>
        <v>22.32</v>
      </c>
      <c r="D76" s="5">
        <v>14.8</v>
      </c>
      <c r="E76" s="5">
        <f t="shared" si="2"/>
        <v>53.28</v>
      </c>
      <c r="F76" s="12">
        <v>131</v>
      </c>
      <c r="G76" s="26" t="s">
        <v>185</v>
      </c>
    </row>
    <row r="77" spans="1:7" ht="18" customHeight="1">
      <c r="A77" s="25" t="s">
        <v>79</v>
      </c>
      <c r="B77" s="5">
        <v>6.8</v>
      </c>
      <c r="C77" s="5">
        <f t="shared" si="3"/>
        <v>24.48</v>
      </c>
      <c r="D77" s="5">
        <v>13.8</v>
      </c>
      <c r="E77" s="5">
        <f t="shared" si="2"/>
        <v>49.680000000000007</v>
      </c>
      <c r="F77" s="12">
        <v>122</v>
      </c>
      <c r="G77" s="26" t="s">
        <v>194</v>
      </c>
    </row>
    <row r="78" spans="1:7" ht="18" customHeight="1">
      <c r="A78" s="25" t="s">
        <v>80</v>
      </c>
      <c r="B78" s="5">
        <v>6.7</v>
      </c>
      <c r="C78" s="5">
        <f t="shared" si="3"/>
        <v>24.12</v>
      </c>
      <c r="D78" s="5">
        <v>15.8</v>
      </c>
      <c r="E78" s="5">
        <f t="shared" si="2"/>
        <v>56.88</v>
      </c>
      <c r="F78" s="12">
        <v>127</v>
      </c>
      <c r="G78" s="26" t="s">
        <v>185</v>
      </c>
    </row>
    <row r="79" spans="1:7" ht="18" customHeight="1">
      <c r="A79" s="25" t="s">
        <v>81</v>
      </c>
      <c r="B79" s="5">
        <v>6.3</v>
      </c>
      <c r="C79" s="5">
        <f t="shared" si="3"/>
        <v>22.68</v>
      </c>
      <c r="D79" s="5">
        <v>14.8</v>
      </c>
      <c r="E79" s="5">
        <f t="shared" si="2"/>
        <v>53.28</v>
      </c>
      <c r="F79" s="12">
        <v>131</v>
      </c>
      <c r="G79" s="26" t="s">
        <v>185</v>
      </c>
    </row>
    <row r="80" spans="1:7" ht="18" customHeight="1">
      <c r="A80" s="25" t="s">
        <v>82</v>
      </c>
      <c r="B80" s="5">
        <v>3.5</v>
      </c>
      <c r="C80" s="5">
        <f t="shared" si="3"/>
        <v>12.6</v>
      </c>
      <c r="D80" s="5">
        <v>11.7</v>
      </c>
      <c r="E80" s="5">
        <f t="shared" si="2"/>
        <v>42.12</v>
      </c>
      <c r="F80" s="12">
        <v>110</v>
      </c>
      <c r="G80" s="26" t="s">
        <v>194</v>
      </c>
    </row>
    <row r="81" spans="1:7" ht="18" customHeight="1">
      <c r="A81" s="18" t="s">
        <v>83</v>
      </c>
      <c r="B81" s="23">
        <v>2.7</v>
      </c>
      <c r="C81" s="23">
        <f t="shared" si="3"/>
        <v>9.7200000000000006</v>
      </c>
      <c r="D81" s="23">
        <v>8.1999999999999993</v>
      </c>
      <c r="E81" s="23">
        <f t="shared" si="2"/>
        <v>29.52</v>
      </c>
      <c r="F81" s="24">
        <v>89</v>
      </c>
      <c r="G81" s="19" t="s">
        <v>194</v>
      </c>
    </row>
    <row r="82" spans="1:7" ht="18" customHeight="1">
      <c r="A82" s="9" t="s">
        <v>84</v>
      </c>
      <c r="B82" s="10">
        <v>0.7</v>
      </c>
      <c r="C82" s="3">
        <f t="shared" si="3"/>
        <v>2.52</v>
      </c>
      <c r="D82" s="10">
        <v>2.6</v>
      </c>
      <c r="E82" s="31">
        <f t="shared" si="2"/>
        <v>9.3600000000000012</v>
      </c>
      <c r="F82" s="11">
        <v>295</v>
      </c>
    </row>
    <row r="83" spans="1:7" ht="18" customHeight="1">
      <c r="A83" s="2" t="s">
        <v>85</v>
      </c>
      <c r="B83" s="3">
        <v>1.1000000000000001</v>
      </c>
      <c r="C83" s="3">
        <f t="shared" si="3"/>
        <v>3.9600000000000004</v>
      </c>
      <c r="D83" s="3">
        <v>4.0999999999999996</v>
      </c>
      <c r="E83" s="31">
        <f t="shared" si="2"/>
        <v>14.76</v>
      </c>
      <c r="F83" s="4">
        <v>279</v>
      </c>
    </row>
    <row r="84" spans="1:7" ht="18" customHeight="1">
      <c r="A84" s="2" t="s">
        <v>86</v>
      </c>
      <c r="B84" s="3">
        <v>0.9</v>
      </c>
      <c r="C84" s="3">
        <f t="shared" si="3"/>
        <v>3.24</v>
      </c>
      <c r="D84" s="3">
        <v>5.0999999999999996</v>
      </c>
      <c r="E84" s="31">
        <f t="shared" si="2"/>
        <v>18.36</v>
      </c>
      <c r="F84" s="4">
        <v>310</v>
      </c>
    </row>
    <row r="85" spans="1:7" ht="18" customHeight="1">
      <c r="A85" s="2" t="s">
        <v>87</v>
      </c>
      <c r="B85" s="3">
        <v>1.3</v>
      </c>
      <c r="C85" s="3">
        <f t="shared" si="3"/>
        <v>4.6800000000000006</v>
      </c>
      <c r="D85" s="3">
        <v>4.0999999999999996</v>
      </c>
      <c r="E85" s="31">
        <f t="shared" si="2"/>
        <v>14.76</v>
      </c>
      <c r="F85" s="4">
        <v>77</v>
      </c>
    </row>
    <row r="86" spans="1:7" ht="18" customHeight="1">
      <c r="A86" s="2" t="s">
        <v>88</v>
      </c>
      <c r="B86" s="3">
        <v>1.6</v>
      </c>
      <c r="C86" s="3">
        <f t="shared" si="3"/>
        <v>5.7600000000000007</v>
      </c>
      <c r="D86" s="3">
        <v>4.5999999999999996</v>
      </c>
      <c r="E86" s="31">
        <f t="shared" si="2"/>
        <v>16.559999999999999</v>
      </c>
      <c r="F86" s="4">
        <v>94</v>
      </c>
    </row>
    <row r="87" spans="1:7" ht="18" customHeight="1">
      <c r="A87" s="2" t="s">
        <v>89</v>
      </c>
      <c r="B87" s="3">
        <v>0.4</v>
      </c>
      <c r="C87" s="3">
        <f t="shared" si="3"/>
        <v>1.4400000000000002</v>
      </c>
      <c r="D87" s="3">
        <v>1.5</v>
      </c>
      <c r="E87" s="31">
        <f t="shared" si="2"/>
        <v>5.4</v>
      </c>
      <c r="F87" s="4">
        <v>71</v>
      </c>
    </row>
    <row r="88" spans="1:7" ht="18" customHeight="1">
      <c r="A88" s="2" t="s">
        <v>90</v>
      </c>
      <c r="B88" s="3">
        <v>0.8</v>
      </c>
      <c r="C88" s="3">
        <f t="shared" si="3"/>
        <v>2.8800000000000003</v>
      </c>
      <c r="D88" s="3">
        <v>3.1</v>
      </c>
      <c r="E88" s="31">
        <f t="shared" si="2"/>
        <v>11.16</v>
      </c>
      <c r="F88" s="4">
        <v>35</v>
      </c>
    </row>
    <row r="89" spans="1:7" ht="18" customHeight="1">
      <c r="A89" s="6" t="s">
        <v>91</v>
      </c>
      <c r="B89" s="7">
        <v>2.2999999999999998</v>
      </c>
      <c r="C89" s="3">
        <f t="shared" si="3"/>
        <v>8.2799999999999994</v>
      </c>
      <c r="D89" s="7">
        <v>7.1</v>
      </c>
      <c r="E89" s="31">
        <f t="shared" si="2"/>
        <v>25.56</v>
      </c>
      <c r="F89" s="8">
        <v>246</v>
      </c>
    </row>
    <row r="90" spans="1:7" ht="18" customHeight="1">
      <c r="A90" s="18" t="s">
        <v>92</v>
      </c>
      <c r="B90" s="23">
        <v>3.2</v>
      </c>
      <c r="C90" s="23">
        <f t="shared" si="3"/>
        <v>11.520000000000001</v>
      </c>
      <c r="D90" s="23">
        <v>7.7</v>
      </c>
      <c r="E90" s="23">
        <f t="shared" si="2"/>
        <v>27.720000000000002</v>
      </c>
      <c r="F90" s="24">
        <v>212</v>
      </c>
      <c r="G90" s="19" t="s">
        <v>192</v>
      </c>
    </row>
    <row r="91" spans="1:7" ht="18" customHeight="1">
      <c r="A91" s="28" t="s">
        <v>93</v>
      </c>
      <c r="B91" s="29">
        <v>1.5</v>
      </c>
      <c r="C91" s="3">
        <f t="shared" si="3"/>
        <v>5.4</v>
      </c>
      <c r="D91" s="29">
        <v>5.6</v>
      </c>
      <c r="E91" s="31">
        <f t="shared" si="2"/>
        <v>20.16</v>
      </c>
      <c r="F91" s="30">
        <v>150</v>
      </c>
    </row>
    <row r="92" spans="1:7" ht="18" customHeight="1">
      <c r="A92" s="18" t="s">
        <v>94</v>
      </c>
      <c r="B92" s="23">
        <v>1.8</v>
      </c>
      <c r="C92" s="23">
        <f t="shared" si="3"/>
        <v>6.48</v>
      </c>
      <c r="D92" s="23">
        <v>8.1999999999999993</v>
      </c>
      <c r="E92" s="23">
        <f t="shared" si="2"/>
        <v>29.52</v>
      </c>
      <c r="F92" s="24">
        <v>101</v>
      </c>
      <c r="G92" s="19" t="s">
        <v>188</v>
      </c>
    </row>
    <row r="93" spans="1:7" ht="18" customHeight="1">
      <c r="A93" s="9" t="s">
        <v>95</v>
      </c>
      <c r="B93" s="10">
        <v>0.7</v>
      </c>
      <c r="C93" s="3">
        <f t="shared" si="3"/>
        <v>2.52</v>
      </c>
      <c r="D93" s="10">
        <v>5.0999999999999996</v>
      </c>
      <c r="E93" s="31">
        <f t="shared" si="2"/>
        <v>18.36</v>
      </c>
      <c r="F93" s="11">
        <v>222</v>
      </c>
    </row>
    <row r="94" spans="1:7" ht="18" customHeight="1">
      <c r="A94" s="2" t="s">
        <v>96</v>
      </c>
      <c r="B94" s="3">
        <v>1.2</v>
      </c>
      <c r="C94" s="3">
        <f t="shared" si="3"/>
        <v>4.32</v>
      </c>
      <c r="D94" s="3">
        <v>6.6</v>
      </c>
      <c r="E94" s="31">
        <f t="shared" si="2"/>
        <v>23.759999999999998</v>
      </c>
      <c r="F94" s="4">
        <v>51</v>
      </c>
    </row>
    <row r="95" spans="1:7" ht="18" customHeight="1">
      <c r="A95" s="2" t="s">
        <v>97</v>
      </c>
      <c r="B95" s="3">
        <v>1.3</v>
      </c>
      <c r="C95" s="3">
        <f t="shared" si="3"/>
        <v>4.6800000000000006</v>
      </c>
      <c r="D95" s="3">
        <v>4.5999999999999996</v>
      </c>
      <c r="E95" s="31">
        <f t="shared" si="2"/>
        <v>16.559999999999999</v>
      </c>
      <c r="F95" s="4">
        <v>281</v>
      </c>
    </row>
    <row r="96" spans="1:7" ht="18" customHeight="1">
      <c r="A96" s="2" t="s">
        <v>98</v>
      </c>
      <c r="B96" s="3">
        <v>1.7</v>
      </c>
      <c r="C96" s="3">
        <f t="shared" si="3"/>
        <v>6.12</v>
      </c>
      <c r="D96" s="3">
        <v>4.0999999999999996</v>
      </c>
      <c r="E96" s="31">
        <f t="shared" si="2"/>
        <v>14.76</v>
      </c>
      <c r="F96" s="4">
        <v>241</v>
      </c>
    </row>
    <row r="97" spans="1:7" ht="18" customHeight="1">
      <c r="A97" s="2" t="s">
        <v>99</v>
      </c>
      <c r="B97" s="3">
        <v>1.4</v>
      </c>
      <c r="C97" s="3">
        <f t="shared" si="3"/>
        <v>5.04</v>
      </c>
      <c r="D97" s="3">
        <v>5.0999999999999996</v>
      </c>
      <c r="E97" s="31">
        <f t="shared" si="2"/>
        <v>18.36</v>
      </c>
      <c r="F97" s="4">
        <v>155</v>
      </c>
    </row>
    <row r="98" spans="1:7" ht="18" customHeight="1">
      <c r="A98" s="2" t="s">
        <v>100</v>
      </c>
      <c r="B98" s="3">
        <v>0.5</v>
      </c>
      <c r="C98" s="3">
        <f t="shared" si="3"/>
        <v>1.8</v>
      </c>
      <c r="D98" s="3">
        <v>3.1</v>
      </c>
      <c r="E98" s="31">
        <f t="shared" si="2"/>
        <v>11.16</v>
      </c>
      <c r="F98" s="4">
        <v>152</v>
      </c>
    </row>
    <row r="99" spans="1:7" ht="18" customHeight="1">
      <c r="A99" s="6" t="s">
        <v>101</v>
      </c>
      <c r="B99" s="7">
        <v>0.4</v>
      </c>
      <c r="C99" s="3">
        <f t="shared" si="3"/>
        <v>1.4400000000000002</v>
      </c>
      <c r="D99" s="7">
        <v>2</v>
      </c>
      <c r="E99" s="31">
        <f t="shared" si="2"/>
        <v>7.2</v>
      </c>
      <c r="F99" s="8">
        <v>41</v>
      </c>
    </row>
    <row r="100" spans="1:7" ht="18" customHeight="1">
      <c r="A100" s="18" t="s">
        <v>102</v>
      </c>
      <c r="B100" s="23">
        <v>1.4</v>
      </c>
      <c r="C100" s="23">
        <f t="shared" si="3"/>
        <v>5.04</v>
      </c>
      <c r="D100" s="23">
        <v>7.7</v>
      </c>
      <c r="E100" s="23">
        <f t="shared" si="2"/>
        <v>27.720000000000002</v>
      </c>
      <c r="F100" s="24">
        <v>20</v>
      </c>
      <c r="G100" s="19" t="s">
        <v>186</v>
      </c>
    </row>
    <row r="101" spans="1:7" ht="18" customHeight="1">
      <c r="A101" s="9" t="s">
        <v>103</v>
      </c>
      <c r="B101" s="10">
        <v>3.1</v>
      </c>
      <c r="C101" s="3">
        <f t="shared" si="3"/>
        <v>11.16</v>
      </c>
      <c r="D101" s="10">
        <v>7.1</v>
      </c>
      <c r="E101" s="31">
        <f t="shared" si="2"/>
        <v>25.56</v>
      </c>
      <c r="F101" s="11">
        <v>341</v>
      </c>
    </row>
    <row r="102" spans="1:7" ht="18" customHeight="1">
      <c r="A102" s="2" t="s">
        <v>104</v>
      </c>
      <c r="B102" s="3">
        <v>2.7</v>
      </c>
      <c r="C102" s="3">
        <f t="shared" si="3"/>
        <v>9.7200000000000006</v>
      </c>
      <c r="D102" s="3">
        <v>7.1</v>
      </c>
      <c r="E102" s="31">
        <f t="shared" si="2"/>
        <v>25.56</v>
      </c>
      <c r="F102" s="4">
        <v>330</v>
      </c>
    </row>
    <row r="103" spans="1:7" ht="18" customHeight="1">
      <c r="A103" s="2" t="s">
        <v>105</v>
      </c>
      <c r="B103" s="3">
        <v>1</v>
      </c>
      <c r="C103" s="3">
        <f t="shared" si="3"/>
        <v>3.6</v>
      </c>
      <c r="D103" s="3">
        <v>4.0999999999999996</v>
      </c>
      <c r="E103" s="31">
        <f t="shared" si="2"/>
        <v>14.76</v>
      </c>
      <c r="F103" s="4">
        <v>336</v>
      </c>
    </row>
    <row r="104" spans="1:7" ht="18" customHeight="1">
      <c r="A104" s="6" t="s">
        <v>106</v>
      </c>
      <c r="B104" s="7">
        <v>3.5</v>
      </c>
      <c r="C104" s="3">
        <f t="shared" si="3"/>
        <v>12.6</v>
      </c>
      <c r="D104" s="7">
        <v>6.6</v>
      </c>
      <c r="E104" s="31">
        <f t="shared" si="2"/>
        <v>23.759999999999998</v>
      </c>
      <c r="F104" s="8">
        <v>341</v>
      </c>
    </row>
    <row r="105" spans="1:7" ht="18" customHeight="1">
      <c r="A105" s="18" t="s">
        <v>107</v>
      </c>
      <c r="B105" s="23">
        <v>3.5</v>
      </c>
      <c r="C105" s="23">
        <f t="shared" si="3"/>
        <v>12.6</v>
      </c>
      <c r="D105" s="23">
        <v>7.7</v>
      </c>
      <c r="E105" s="23">
        <f t="shared" si="2"/>
        <v>27.720000000000002</v>
      </c>
      <c r="F105" s="24">
        <v>337</v>
      </c>
      <c r="G105" s="27" t="s">
        <v>187</v>
      </c>
    </row>
    <row r="106" spans="1:7" ht="18" customHeight="1">
      <c r="A106" s="25" t="s">
        <v>108</v>
      </c>
      <c r="B106" s="5">
        <v>4.5999999999999996</v>
      </c>
      <c r="C106" s="5">
        <f t="shared" si="3"/>
        <v>16.559999999999999</v>
      </c>
      <c r="D106" s="5">
        <v>8.6999999999999993</v>
      </c>
      <c r="E106" s="5">
        <f t="shared" si="2"/>
        <v>31.319999999999997</v>
      </c>
      <c r="F106" s="12">
        <v>353</v>
      </c>
      <c r="G106" s="26" t="s">
        <v>195</v>
      </c>
    </row>
    <row r="107" spans="1:7" ht="18" customHeight="1">
      <c r="A107" s="18" t="s">
        <v>109</v>
      </c>
      <c r="B107" s="23">
        <v>3.2</v>
      </c>
      <c r="C107" s="23">
        <f t="shared" si="3"/>
        <v>11.520000000000001</v>
      </c>
      <c r="D107" s="23">
        <v>8.1999999999999993</v>
      </c>
      <c r="E107" s="23">
        <f t="shared" si="2"/>
        <v>29.52</v>
      </c>
      <c r="F107" s="24">
        <v>337</v>
      </c>
      <c r="G107" s="19" t="s">
        <v>187</v>
      </c>
    </row>
    <row r="108" spans="1:7" ht="18" customHeight="1">
      <c r="A108" s="9" t="s">
        <v>110</v>
      </c>
      <c r="B108" s="10">
        <v>1</v>
      </c>
      <c r="C108" s="3">
        <f t="shared" si="3"/>
        <v>3.6</v>
      </c>
      <c r="D108" s="10">
        <v>3.1</v>
      </c>
      <c r="E108" s="31">
        <f t="shared" si="2"/>
        <v>11.16</v>
      </c>
      <c r="F108" s="11">
        <v>342</v>
      </c>
    </row>
    <row r="109" spans="1:7" ht="18" customHeight="1">
      <c r="A109" s="2" t="s">
        <v>111</v>
      </c>
      <c r="B109" s="3">
        <v>0.4</v>
      </c>
      <c r="C109" s="3">
        <f t="shared" si="3"/>
        <v>1.4400000000000002</v>
      </c>
      <c r="D109" s="3">
        <v>1.5</v>
      </c>
      <c r="E109" s="31">
        <f t="shared" si="2"/>
        <v>5.4</v>
      </c>
      <c r="F109" s="4">
        <v>44</v>
      </c>
    </row>
    <row r="110" spans="1:7" ht="18" customHeight="1">
      <c r="A110" s="2" t="s">
        <v>112</v>
      </c>
      <c r="B110" s="3">
        <v>0.5</v>
      </c>
      <c r="C110" s="3">
        <f t="shared" si="3"/>
        <v>1.8</v>
      </c>
      <c r="D110" s="3">
        <v>1.5</v>
      </c>
      <c r="E110" s="31">
        <f t="shared" si="2"/>
        <v>5.4</v>
      </c>
      <c r="F110" s="4">
        <v>95</v>
      </c>
    </row>
    <row r="111" spans="1:7" ht="18" customHeight="1">
      <c r="A111" s="2" t="s">
        <v>113</v>
      </c>
      <c r="B111" s="3">
        <v>0.7</v>
      </c>
      <c r="C111" s="3">
        <f t="shared" si="3"/>
        <v>2.52</v>
      </c>
      <c r="D111" s="3">
        <v>2.6</v>
      </c>
      <c r="E111" s="31">
        <f t="shared" si="2"/>
        <v>9.3600000000000012</v>
      </c>
      <c r="F111" s="4">
        <v>19</v>
      </c>
    </row>
    <row r="112" spans="1:7" ht="18" customHeight="1">
      <c r="A112" s="6" t="s">
        <v>114</v>
      </c>
      <c r="B112" s="7">
        <v>2.9</v>
      </c>
      <c r="C112" s="3">
        <f t="shared" si="3"/>
        <v>10.44</v>
      </c>
      <c r="D112" s="7">
        <v>7.1</v>
      </c>
      <c r="E112" s="31">
        <f t="shared" si="2"/>
        <v>25.56</v>
      </c>
      <c r="F112" s="8">
        <v>7</v>
      </c>
    </row>
    <row r="113" spans="1:7" ht="18" customHeight="1">
      <c r="A113" s="18" t="s">
        <v>115</v>
      </c>
      <c r="B113" s="23">
        <v>2.8</v>
      </c>
      <c r="C113" s="23">
        <f t="shared" si="3"/>
        <v>10.08</v>
      </c>
      <c r="D113" s="23">
        <v>7.7</v>
      </c>
      <c r="E113" s="23">
        <f t="shared" si="2"/>
        <v>27.720000000000002</v>
      </c>
      <c r="F113" s="24">
        <v>340</v>
      </c>
      <c r="G113" s="19" t="s">
        <v>187</v>
      </c>
    </row>
    <row r="114" spans="1:7" ht="18" customHeight="1">
      <c r="A114" s="9" t="s">
        <v>116</v>
      </c>
      <c r="B114" s="10">
        <v>2.8</v>
      </c>
      <c r="C114" s="3">
        <f t="shared" si="3"/>
        <v>10.08</v>
      </c>
      <c r="D114" s="10">
        <v>6.6</v>
      </c>
      <c r="E114" s="31">
        <f t="shared" si="2"/>
        <v>23.759999999999998</v>
      </c>
      <c r="F114" s="11">
        <v>340</v>
      </c>
    </row>
    <row r="115" spans="1:7" ht="18" customHeight="1">
      <c r="A115" s="2" t="s">
        <v>117</v>
      </c>
      <c r="B115" s="3">
        <v>2.2999999999999998</v>
      </c>
      <c r="C115" s="3">
        <f t="shared" si="3"/>
        <v>8.2799999999999994</v>
      </c>
      <c r="D115" s="3">
        <v>5.0999999999999996</v>
      </c>
      <c r="E115" s="31">
        <f t="shared" si="2"/>
        <v>18.36</v>
      </c>
      <c r="F115" s="4">
        <v>7</v>
      </c>
    </row>
    <row r="116" spans="1:7" ht="18" customHeight="1">
      <c r="A116" s="6" t="s">
        <v>118</v>
      </c>
      <c r="B116" s="7">
        <v>2.8</v>
      </c>
      <c r="C116" s="3">
        <f t="shared" si="3"/>
        <v>10.08</v>
      </c>
      <c r="D116" s="7">
        <v>7.1</v>
      </c>
      <c r="E116" s="31">
        <f t="shared" si="2"/>
        <v>25.56</v>
      </c>
      <c r="F116" s="8">
        <v>360</v>
      </c>
    </row>
    <row r="117" spans="1:7" ht="18" customHeight="1">
      <c r="A117" s="25" t="s">
        <v>119</v>
      </c>
      <c r="B117" s="5">
        <v>4.5999999999999996</v>
      </c>
      <c r="C117" s="5">
        <f t="shared" si="3"/>
        <v>16.559999999999999</v>
      </c>
      <c r="D117" s="5">
        <v>10.199999999999999</v>
      </c>
      <c r="E117" s="5">
        <f t="shared" si="2"/>
        <v>36.72</v>
      </c>
      <c r="F117" s="12">
        <v>4</v>
      </c>
      <c r="G117" s="26" t="s">
        <v>196</v>
      </c>
    </row>
    <row r="118" spans="1:7" ht="18" customHeight="1">
      <c r="A118" s="25" t="s">
        <v>120</v>
      </c>
      <c r="B118" s="5">
        <v>7.7</v>
      </c>
      <c r="C118" s="5">
        <f t="shared" si="3"/>
        <v>27.720000000000002</v>
      </c>
      <c r="D118" s="5">
        <v>15.3</v>
      </c>
      <c r="E118" s="5">
        <f t="shared" si="2"/>
        <v>55.080000000000005</v>
      </c>
      <c r="F118" s="12">
        <v>357</v>
      </c>
      <c r="G118" s="26" t="s">
        <v>196</v>
      </c>
    </row>
    <row r="119" spans="1:7" ht="18" customHeight="1">
      <c r="A119" s="25" t="s">
        <v>121</v>
      </c>
      <c r="B119" s="5">
        <v>10.5</v>
      </c>
      <c r="C119" s="5">
        <f t="shared" si="3"/>
        <v>37.800000000000004</v>
      </c>
      <c r="D119" s="5">
        <v>19.899999999999999</v>
      </c>
      <c r="E119" s="5">
        <f t="shared" si="2"/>
        <v>71.64</v>
      </c>
      <c r="F119" s="12">
        <v>4</v>
      </c>
      <c r="G119" s="26" t="s">
        <v>196</v>
      </c>
    </row>
    <row r="120" spans="1:7" ht="18" customHeight="1">
      <c r="A120" s="25" t="s">
        <v>122</v>
      </c>
      <c r="B120" s="5">
        <v>9.5</v>
      </c>
      <c r="C120" s="5">
        <f t="shared" si="3"/>
        <v>34.200000000000003</v>
      </c>
      <c r="D120" s="5">
        <v>20.399999999999999</v>
      </c>
      <c r="E120" s="5">
        <f t="shared" si="2"/>
        <v>73.44</v>
      </c>
      <c r="F120" s="12">
        <v>351</v>
      </c>
      <c r="G120" s="26" t="s">
        <v>196</v>
      </c>
    </row>
    <row r="121" spans="1:7" ht="18" customHeight="1">
      <c r="A121" s="25" t="s">
        <v>123</v>
      </c>
      <c r="B121" s="5">
        <v>8.6999999999999993</v>
      </c>
      <c r="C121" s="5">
        <f t="shared" si="3"/>
        <v>31.319999999999997</v>
      </c>
      <c r="D121" s="5">
        <v>14.8</v>
      </c>
      <c r="E121" s="5">
        <f t="shared" si="2"/>
        <v>53.28</v>
      </c>
      <c r="F121" s="12">
        <v>347</v>
      </c>
      <c r="G121" s="26" t="s">
        <v>187</v>
      </c>
    </row>
    <row r="122" spans="1:7" ht="18" customHeight="1">
      <c r="A122" s="25" t="s">
        <v>124</v>
      </c>
      <c r="B122" s="5">
        <v>7.1</v>
      </c>
      <c r="C122" s="5">
        <f t="shared" si="3"/>
        <v>25.56</v>
      </c>
      <c r="D122" s="5">
        <v>13.3</v>
      </c>
      <c r="E122" s="5">
        <f t="shared" si="2"/>
        <v>47.88</v>
      </c>
      <c r="F122" s="12">
        <v>344</v>
      </c>
      <c r="G122" s="26" t="s">
        <v>187</v>
      </c>
    </row>
    <row r="123" spans="1:7" ht="18" customHeight="1">
      <c r="A123" s="25" t="s">
        <v>125</v>
      </c>
      <c r="B123" s="5">
        <v>6.6</v>
      </c>
      <c r="C123" s="5">
        <f t="shared" si="3"/>
        <v>23.759999999999998</v>
      </c>
      <c r="D123" s="5">
        <v>10.7</v>
      </c>
      <c r="E123" s="5">
        <f t="shared" si="2"/>
        <v>38.519999999999996</v>
      </c>
      <c r="F123" s="12">
        <v>338</v>
      </c>
      <c r="G123" s="26" t="s">
        <v>187</v>
      </c>
    </row>
    <row r="124" spans="1:7" ht="18" customHeight="1">
      <c r="A124" s="25" t="s">
        <v>126</v>
      </c>
      <c r="B124" s="5">
        <v>6.4</v>
      </c>
      <c r="C124" s="5">
        <f t="shared" si="3"/>
        <v>23.040000000000003</v>
      </c>
      <c r="D124" s="5">
        <v>10.7</v>
      </c>
      <c r="E124" s="5">
        <f t="shared" si="2"/>
        <v>38.519999999999996</v>
      </c>
      <c r="F124" s="12">
        <v>342</v>
      </c>
      <c r="G124" s="26" t="s">
        <v>187</v>
      </c>
    </row>
    <row r="125" spans="1:7" ht="18" customHeight="1">
      <c r="A125" s="25" t="s">
        <v>127</v>
      </c>
      <c r="B125" s="5">
        <v>6.6</v>
      </c>
      <c r="C125" s="5">
        <f t="shared" si="3"/>
        <v>23.759999999999998</v>
      </c>
      <c r="D125" s="5">
        <v>10.7</v>
      </c>
      <c r="E125" s="5">
        <f t="shared" si="2"/>
        <v>38.519999999999996</v>
      </c>
      <c r="F125" s="12">
        <v>340</v>
      </c>
      <c r="G125" s="26" t="s">
        <v>187</v>
      </c>
    </row>
    <row r="126" spans="1:7" ht="18" customHeight="1">
      <c r="A126" s="25" t="s">
        <v>128</v>
      </c>
      <c r="B126" s="5">
        <v>6.4</v>
      </c>
      <c r="C126" s="5">
        <f t="shared" si="3"/>
        <v>23.040000000000003</v>
      </c>
      <c r="D126" s="5">
        <v>10.199999999999999</v>
      </c>
      <c r="E126" s="5">
        <f t="shared" si="2"/>
        <v>36.72</v>
      </c>
      <c r="F126" s="12">
        <v>339</v>
      </c>
      <c r="G126" s="26" t="s">
        <v>187</v>
      </c>
    </row>
    <row r="127" spans="1:7" ht="18" customHeight="1">
      <c r="A127" s="25" t="s">
        <v>129</v>
      </c>
      <c r="B127" s="5">
        <v>5.3</v>
      </c>
      <c r="C127" s="5">
        <f t="shared" si="3"/>
        <v>19.079999999999998</v>
      </c>
      <c r="D127" s="5">
        <v>9.1999999999999993</v>
      </c>
      <c r="E127" s="5">
        <f t="shared" si="2"/>
        <v>33.119999999999997</v>
      </c>
      <c r="F127" s="12">
        <v>345</v>
      </c>
      <c r="G127" s="26" t="s">
        <v>187</v>
      </c>
    </row>
    <row r="128" spans="1:7" ht="18" customHeight="1">
      <c r="A128" s="25" t="s">
        <v>130</v>
      </c>
      <c r="B128" s="5">
        <v>5.9</v>
      </c>
      <c r="C128" s="5">
        <f t="shared" si="3"/>
        <v>21.240000000000002</v>
      </c>
      <c r="D128" s="5">
        <v>10.199999999999999</v>
      </c>
      <c r="E128" s="5">
        <f t="shared" si="2"/>
        <v>36.72</v>
      </c>
      <c r="F128" s="12">
        <v>348</v>
      </c>
      <c r="G128" s="26" t="s">
        <v>187</v>
      </c>
    </row>
    <row r="129" spans="1:7" ht="18" customHeight="1">
      <c r="A129" s="25" t="s">
        <v>131</v>
      </c>
      <c r="B129" s="5">
        <v>7.5</v>
      </c>
      <c r="C129" s="5">
        <f t="shared" si="3"/>
        <v>27</v>
      </c>
      <c r="D129" s="5">
        <v>12.8</v>
      </c>
      <c r="E129" s="5">
        <f t="shared" si="2"/>
        <v>46.080000000000005</v>
      </c>
      <c r="F129" s="12">
        <v>357</v>
      </c>
      <c r="G129" s="26" t="s">
        <v>196</v>
      </c>
    </row>
    <row r="130" spans="1:7" ht="18" customHeight="1">
      <c r="A130" s="25" t="s">
        <v>132</v>
      </c>
      <c r="B130" s="5">
        <v>9.1</v>
      </c>
      <c r="C130" s="5">
        <f t="shared" si="3"/>
        <v>32.76</v>
      </c>
      <c r="D130" s="5">
        <v>14.8</v>
      </c>
      <c r="E130" s="5">
        <f t="shared" si="2"/>
        <v>53.28</v>
      </c>
      <c r="F130" s="12">
        <v>360</v>
      </c>
      <c r="G130" s="26" t="s">
        <v>196</v>
      </c>
    </row>
    <row r="131" spans="1:7" ht="18" customHeight="1">
      <c r="A131" s="25" t="s">
        <v>133</v>
      </c>
      <c r="B131" s="5">
        <v>7.5</v>
      </c>
      <c r="C131" s="5">
        <f t="shared" si="3"/>
        <v>27</v>
      </c>
      <c r="D131" s="5">
        <v>12.8</v>
      </c>
      <c r="E131" s="5">
        <f t="shared" si="2"/>
        <v>46.080000000000005</v>
      </c>
      <c r="F131" s="12">
        <v>347</v>
      </c>
      <c r="G131" s="26" t="s">
        <v>187</v>
      </c>
    </row>
    <row r="132" spans="1:7" ht="18" customHeight="1">
      <c r="A132" s="25" t="s">
        <v>134</v>
      </c>
      <c r="B132" s="5">
        <v>6.8</v>
      </c>
      <c r="C132" s="5">
        <f t="shared" si="3"/>
        <v>24.48</v>
      </c>
      <c r="D132" s="5">
        <v>11.7</v>
      </c>
      <c r="E132" s="5">
        <f t="shared" ref="E132:E182" si="4">(D132*3.6)</f>
        <v>42.12</v>
      </c>
      <c r="F132" s="12">
        <v>351</v>
      </c>
      <c r="G132" s="26" t="s">
        <v>196</v>
      </c>
    </row>
    <row r="133" spans="1:7" ht="18" customHeight="1">
      <c r="A133" s="25" t="s">
        <v>135</v>
      </c>
      <c r="B133" s="5">
        <v>6</v>
      </c>
      <c r="C133" s="5">
        <f t="shared" ref="C133:C182" si="5">(B133*3.6)</f>
        <v>21.6</v>
      </c>
      <c r="D133" s="5">
        <v>11.2</v>
      </c>
      <c r="E133" s="5">
        <f t="shared" si="4"/>
        <v>40.32</v>
      </c>
      <c r="F133" s="12">
        <v>348</v>
      </c>
      <c r="G133" s="26" t="s">
        <v>187</v>
      </c>
    </row>
    <row r="134" spans="1:7" ht="18" customHeight="1">
      <c r="A134" s="18" t="s">
        <v>136</v>
      </c>
      <c r="B134" s="23">
        <v>4.9000000000000004</v>
      </c>
      <c r="C134" s="23">
        <f t="shared" si="5"/>
        <v>17.64</v>
      </c>
      <c r="D134" s="23">
        <v>8.1999999999999993</v>
      </c>
      <c r="E134" s="23">
        <f t="shared" si="4"/>
        <v>29.52</v>
      </c>
      <c r="F134" s="24">
        <v>348</v>
      </c>
      <c r="G134" s="19" t="s">
        <v>187</v>
      </c>
    </row>
    <row r="135" spans="1:7" ht="18" customHeight="1">
      <c r="A135" s="25" t="s">
        <v>137</v>
      </c>
      <c r="B135" s="5">
        <v>4.9000000000000004</v>
      </c>
      <c r="C135" s="5">
        <f t="shared" si="5"/>
        <v>17.64</v>
      </c>
      <c r="D135" s="5">
        <v>8.6999999999999993</v>
      </c>
      <c r="E135" s="5">
        <f t="shared" si="4"/>
        <v>31.319999999999997</v>
      </c>
      <c r="F135" s="12">
        <v>347</v>
      </c>
      <c r="G135" s="26" t="s">
        <v>187</v>
      </c>
    </row>
    <row r="136" spans="1:7" ht="18" customHeight="1">
      <c r="A136" s="9" t="s">
        <v>138</v>
      </c>
      <c r="B136" s="10">
        <v>2.4</v>
      </c>
      <c r="C136" s="3">
        <f t="shared" si="5"/>
        <v>8.64</v>
      </c>
      <c r="D136" s="10">
        <v>6.6</v>
      </c>
      <c r="E136" s="31">
        <f t="shared" si="4"/>
        <v>23.759999999999998</v>
      </c>
      <c r="F136" s="11">
        <v>336</v>
      </c>
    </row>
    <row r="137" spans="1:7" ht="18" customHeight="1">
      <c r="A137" s="2" t="s">
        <v>139</v>
      </c>
      <c r="B137" s="3">
        <v>0.9</v>
      </c>
      <c r="C137" s="3">
        <f t="shared" si="5"/>
        <v>3.24</v>
      </c>
      <c r="D137" s="3">
        <v>2.6</v>
      </c>
      <c r="E137" s="31">
        <f t="shared" si="4"/>
        <v>9.3600000000000012</v>
      </c>
      <c r="F137" s="4">
        <v>318</v>
      </c>
    </row>
    <row r="138" spans="1:7" ht="18" customHeight="1">
      <c r="A138" s="2" t="s">
        <v>140</v>
      </c>
      <c r="B138" s="3">
        <v>1.2</v>
      </c>
      <c r="C138" s="3">
        <f t="shared" si="5"/>
        <v>4.32</v>
      </c>
      <c r="D138" s="3">
        <v>3.6</v>
      </c>
      <c r="E138" s="31">
        <f t="shared" si="4"/>
        <v>12.96</v>
      </c>
      <c r="F138" s="4">
        <v>269</v>
      </c>
    </row>
    <row r="139" spans="1:7" ht="18" customHeight="1">
      <c r="A139" s="2" t="s">
        <v>141</v>
      </c>
      <c r="B139" s="3">
        <v>1.2</v>
      </c>
      <c r="C139" s="3">
        <f t="shared" si="5"/>
        <v>4.32</v>
      </c>
      <c r="D139" s="3">
        <v>3.6</v>
      </c>
      <c r="E139" s="31">
        <f t="shared" si="4"/>
        <v>12.96</v>
      </c>
      <c r="F139" s="4">
        <v>187</v>
      </c>
    </row>
    <row r="140" spans="1:7" ht="18" customHeight="1">
      <c r="A140" s="2" t="s">
        <v>142</v>
      </c>
      <c r="B140" s="3">
        <v>1.3</v>
      </c>
      <c r="C140" s="3">
        <f t="shared" si="5"/>
        <v>4.6800000000000006</v>
      </c>
      <c r="D140" s="3">
        <v>3.6</v>
      </c>
      <c r="E140" s="31">
        <f t="shared" si="4"/>
        <v>12.96</v>
      </c>
      <c r="F140" s="4">
        <v>150</v>
      </c>
    </row>
    <row r="141" spans="1:7" ht="18" customHeight="1">
      <c r="A141" s="2" t="s">
        <v>143</v>
      </c>
      <c r="B141" s="3">
        <v>0.8</v>
      </c>
      <c r="C141" s="3">
        <f t="shared" si="5"/>
        <v>2.8800000000000003</v>
      </c>
      <c r="D141" s="3">
        <v>3.1</v>
      </c>
      <c r="E141" s="31">
        <f t="shared" si="4"/>
        <v>11.16</v>
      </c>
      <c r="F141" s="4">
        <v>201</v>
      </c>
    </row>
    <row r="142" spans="1:7" ht="18" customHeight="1">
      <c r="A142" s="2" t="s">
        <v>144</v>
      </c>
      <c r="B142" s="3">
        <v>1.1000000000000001</v>
      </c>
      <c r="C142" s="3">
        <f t="shared" si="5"/>
        <v>3.9600000000000004</v>
      </c>
      <c r="D142" s="3">
        <v>4.0999999999999996</v>
      </c>
      <c r="E142" s="31">
        <f t="shared" si="4"/>
        <v>14.76</v>
      </c>
      <c r="F142" s="4">
        <v>213</v>
      </c>
    </row>
    <row r="143" spans="1:7" ht="18" customHeight="1">
      <c r="A143" s="6" t="s">
        <v>145</v>
      </c>
      <c r="B143" s="7">
        <v>2.9</v>
      </c>
      <c r="C143" s="7">
        <f t="shared" si="5"/>
        <v>10.44</v>
      </c>
      <c r="D143" s="7">
        <v>7.1</v>
      </c>
      <c r="E143" s="37">
        <f t="shared" si="4"/>
        <v>25.56</v>
      </c>
      <c r="F143" s="8">
        <v>214</v>
      </c>
    </row>
    <row r="144" spans="1:7" ht="18" customHeight="1">
      <c r="A144" s="25" t="s">
        <v>146</v>
      </c>
      <c r="B144" s="5">
        <v>3.5</v>
      </c>
      <c r="C144" s="5">
        <f t="shared" si="5"/>
        <v>12.6</v>
      </c>
      <c r="D144" s="5">
        <v>8.6999999999999993</v>
      </c>
      <c r="E144" s="5">
        <f t="shared" si="4"/>
        <v>31.319999999999997</v>
      </c>
      <c r="F144" s="12">
        <v>193</v>
      </c>
      <c r="G144" s="26" t="s">
        <v>192</v>
      </c>
    </row>
    <row r="145" spans="1:7" ht="18" customHeight="1">
      <c r="A145" s="9" t="s">
        <v>147</v>
      </c>
      <c r="B145" s="10">
        <v>2.7</v>
      </c>
      <c r="C145" s="10">
        <f t="shared" si="5"/>
        <v>9.7200000000000006</v>
      </c>
      <c r="D145" s="10">
        <v>7.1</v>
      </c>
      <c r="E145" s="36">
        <f t="shared" si="4"/>
        <v>25.56</v>
      </c>
      <c r="F145" s="11">
        <v>153</v>
      </c>
    </row>
    <row r="146" spans="1:7" ht="18" customHeight="1">
      <c r="A146" s="2" t="s">
        <v>148</v>
      </c>
      <c r="B146" s="3">
        <v>2.4</v>
      </c>
      <c r="C146" s="3">
        <f t="shared" si="5"/>
        <v>8.64</v>
      </c>
      <c r="D146" s="3">
        <v>7.1</v>
      </c>
      <c r="E146" s="31">
        <f t="shared" si="4"/>
        <v>25.56</v>
      </c>
      <c r="F146" s="4">
        <v>157</v>
      </c>
    </row>
    <row r="147" spans="1:7" ht="18" customHeight="1">
      <c r="A147" s="2" t="s">
        <v>149</v>
      </c>
      <c r="B147" s="3">
        <v>2.2000000000000002</v>
      </c>
      <c r="C147" s="3">
        <f t="shared" si="5"/>
        <v>7.9200000000000008</v>
      </c>
      <c r="D147" s="3">
        <v>6.6</v>
      </c>
      <c r="E147" s="31">
        <f t="shared" si="4"/>
        <v>23.759999999999998</v>
      </c>
      <c r="F147" s="4">
        <v>158</v>
      </c>
    </row>
    <row r="148" spans="1:7" ht="18" customHeight="1">
      <c r="A148" s="6" t="s">
        <v>150</v>
      </c>
      <c r="B148" s="7">
        <v>2.2999999999999998</v>
      </c>
      <c r="C148" s="3">
        <f t="shared" si="5"/>
        <v>8.2799999999999994</v>
      </c>
      <c r="D148" s="7">
        <v>5.6</v>
      </c>
      <c r="E148" s="31">
        <f t="shared" si="4"/>
        <v>20.16</v>
      </c>
      <c r="F148" s="8">
        <v>146</v>
      </c>
    </row>
    <row r="149" spans="1:7" ht="18" customHeight="1">
      <c r="A149" s="18" t="s">
        <v>151</v>
      </c>
      <c r="B149" s="23">
        <v>3.6</v>
      </c>
      <c r="C149" s="23">
        <f t="shared" si="5"/>
        <v>12.96</v>
      </c>
      <c r="D149" s="23">
        <v>8.1999999999999993</v>
      </c>
      <c r="E149" s="23">
        <f t="shared" si="4"/>
        <v>29.52</v>
      </c>
      <c r="F149" s="24">
        <v>183</v>
      </c>
      <c r="G149" s="19" t="s">
        <v>191</v>
      </c>
    </row>
    <row r="150" spans="1:7" ht="18" customHeight="1">
      <c r="A150" s="25" t="s">
        <v>152</v>
      </c>
      <c r="B150" s="5">
        <v>4.0999999999999996</v>
      </c>
      <c r="C150" s="5">
        <f t="shared" si="5"/>
        <v>14.76</v>
      </c>
      <c r="D150" s="5">
        <v>9.6999999999999993</v>
      </c>
      <c r="E150" s="5">
        <f t="shared" si="4"/>
        <v>34.92</v>
      </c>
      <c r="F150" s="12">
        <v>191</v>
      </c>
      <c r="G150" s="26" t="s">
        <v>191</v>
      </c>
    </row>
    <row r="151" spans="1:7" ht="18" customHeight="1">
      <c r="A151" s="13" t="s">
        <v>153</v>
      </c>
      <c r="B151" s="31">
        <v>2.7</v>
      </c>
      <c r="C151" s="3">
        <f t="shared" si="5"/>
        <v>9.7200000000000006</v>
      </c>
      <c r="D151" s="31">
        <v>6.6</v>
      </c>
      <c r="E151" s="31">
        <f t="shared" si="4"/>
        <v>23.759999999999998</v>
      </c>
      <c r="F151" s="32">
        <v>165</v>
      </c>
      <c r="G151" s="33"/>
    </row>
    <row r="152" spans="1:7" ht="18" customHeight="1">
      <c r="A152" s="9" t="s">
        <v>154</v>
      </c>
      <c r="B152" s="10">
        <v>2.6</v>
      </c>
      <c r="C152" s="3">
        <f t="shared" si="5"/>
        <v>9.3600000000000012</v>
      </c>
      <c r="D152" s="10">
        <v>7.1</v>
      </c>
      <c r="E152" s="31">
        <f t="shared" si="4"/>
        <v>25.56</v>
      </c>
      <c r="F152" s="11">
        <v>139</v>
      </c>
    </row>
    <row r="153" spans="1:7" ht="18" customHeight="1">
      <c r="A153" s="2" t="s">
        <v>155</v>
      </c>
      <c r="B153" s="3">
        <v>0.6</v>
      </c>
      <c r="C153" s="3">
        <f t="shared" si="5"/>
        <v>2.16</v>
      </c>
      <c r="D153" s="3">
        <v>4.5999999999999996</v>
      </c>
      <c r="E153" s="31">
        <f t="shared" si="4"/>
        <v>16.559999999999999</v>
      </c>
      <c r="F153" s="4">
        <v>145</v>
      </c>
    </row>
    <row r="154" spans="1:7" ht="18" customHeight="1">
      <c r="A154" s="6" t="s">
        <v>156</v>
      </c>
      <c r="B154" s="7">
        <v>1</v>
      </c>
      <c r="C154" s="3">
        <f t="shared" si="5"/>
        <v>3.6</v>
      </c>
      <c r="D154" s="7">
        <v>3.6</v>
      </c>
      <c r="E154" s="31">
        <f t="shared" si="4"/>
        <v>12.96</v>
      </c>
      <c r="F154" s="8">
        <v>310</v>
      </c>
    </row>
    <row r="155" spans="1:7" ht="18" customHeight="1">
      <c r="A155" s="18" t="s">
        <v>157</v>
      </c>
      <c r="B155" s="23">
        <v>3</v>
      </c>
      <c r="C155" s="23">
        <f t="shared" si="5"/>
        <v>10.8</v>
      </c>
      <c r="D155" s="23">
        <v>7.7</v>
      </c>
      <c r="E155" s="23">
        <f t="shared" si="4"/>
        <v>27.720000000000002</v>
      </c>
      <c r="F155" s="24">
        <v>219</v>
      </c>
      <c r="G155" s="19" t="s">
        <v>193</v>
      </c>
    </row>
    <row r="156" spans="1:7" ht="18" customHeight="1">
      <c r="A156" s="18" t="s">
        <v>158</v>
      </c>
      <c r="B156" s="23">
        <v>3.2</v>
      </c>
      <c r="C156" s="23">
        <f t="shared" si="5"/>
        <v>11.520000000000001</v>
      </c>
      <c r="D156" s="23">
        <v>8.1999999999999993</v>
      </c>
      <c r="E156" s="23">
        <f t="shared" si="4"/>
        <v>29.52</v>
      </c>
      <c r="F156" s="24">
        <v>216</v>
      </c>
      <c r="G156" s="19" t="s">
        <v>193</v>
      </c>
    </row>
    <row r="157" spans="1:7" ht="18" customHeight="1">
      <c r="A157" s="9" t="s">
        <v>159</v>
      </c>
      <c r="B157" s="10">
        <v>1.4</v>
      </c>
      <c r="C157" s="3">
        <f t="shared" si="5"/>
        <v>5.04</v>
      </c>
      <c r="D157" s="10">
        <v>5.0999999999999996</v>
      </c>
      <c r="E157" s="31">
        <f t="shared" si="4"/>
        <v>18.36</v>
      </c>
      <c r="F157" s="11">
        <v>165</v>
      </c>
    </row>
    <row r="158" spans="1:7" ht="18" customHeight="1">
      <c r="A158" s="2" t="s">
        <v>160</v>
      </c>
      <c r="B158" s="3">
        <v>0.8</v>
      </c>
      <c r="C158" s="3">
        <f t="shared" si="5"/>
        <v>2.8800000000000003</v>
      </c>
      <c r="D158" s="3">
        <v>2.6</v>
      </c>
      <c r="E158" s="31">
        <f t="shared" si="4"/>
        <v>9.3600000000000012</v>
      </c>
      <c r="F158" s="4">
        <v>124</v>
      </c>
    </row>
    <row r="159" spans="1:7" ht="18" customHeight="1">
      <c r="A159" s="2" t="s">
        <v>161</v>
      </c>
      <c r="B159" s="3">
        <v>1.2</v>
      </c>
      <c r="C159" s="3">
        <f t="shared" si="5"/>
        <v>4.32</v>
      </c>
      <c r="D159" s="3">
        <v>5.0999999999999996</v>
      </c>
      <c r="E159" s="31">
        <f t="shared" si="4"/>
        <v>18.36</v>
      </c>
      <c r="F159" s="4">
        <v>124</v>
      </c>
    </row>
    <row r="160" spans="1:7" ht="18" customHeight="1" thickBot="1">
      <c r="A160" s="6" t="s">
        <v>162</v>
      </c>
      <c r="B160" s="7">
        <v>2.2000000000000002</v>
      </c>
      <c r="C160" s="3">
        <f t="shared" si="5"/>
        <v>7.9200000000000008</v>
      </c>
      <c r="D160" s="7">
        <v>5.6</v>
      </c>
      <c r="E160" s="31">
        <f t="shared" si="4"/>
        <v>20.16</v>
      </c>
      <c r="F160" s="8">
        <v>143</v>
      </c>
    </row>
    <row r="161" spans="1:7" ht="18" customHeight="1">
      <c r="A161" s="20" t="s">
        <v>163</v>
      </c>
      <c r="B161" s="21">
        <v>3.8</v>
      </c>
      <c r="C161" s="23">
        <f t="shared" si="5"/>
        <v>13.68</v>
      </c>
      <c r="D161" s="21">
        <v>8.1999999999999993</v>
      </c>
      <c r="E161" s="23">
        <f t="shared" si="4"/>
        <v>29.52</v>
      </c>
      <c r="F161" s="22">
        <v>194</v>
      </c>
      <c r="G161" s="35" t="s">
        <v>191</v>
      </c>
    </row>
    <row r="162" spans="1:7" ht="18" customHeight="1">
      <c r="A162" s="25" t="s">
        <v>164</v>
      </c>
      <c r="B162" s="5">
        <v>3.8</v>
      </c>
      <c r="C162" s="5">
        <f t="shared" si="5"/>
        <v>13.68</v>
      </c>
      <c r="D162" s="5">
        <v>8.6999999999999993</v>
      </c>
      <c r="E162" s="5">
        <f t="shared" si="4"/>
        <v>31.319999999999997</v>
      </c>
      <c r="F162" s="12">
        <v>189</v>
      </c>
      <c r="G162" s="26" t="s">
        <v>191</v>
      </c>
    </row>
    <row r="163" spans="1:7" ht="18" customHeight="1">
      <c r="A163" s="18" t="s">
        <v>165</v>
      </c>
      <c r="B163" s="23">
        <v>2.1</v>
      </c>
      <c r="C163" s="23">
        <f t="shared" si="5"/>
        <v>7.5600000000000005</v>
      </c>
      <c r="D163" s="23">
        <v>8.1999999999999993</v>
      </c>
      <c r="E163" s="23">
        <f t="shared" si="4"/>
        <v>29.52</v>
      </c>
      <c r="F163" s="24">
        <v>163</v>
      </c>
      <c r="G163" s="19" t="s">
        <v>184</v>
      </c>
    </row>
    <row r="164" spans="1:7" ht="18" customHeight="1">
      <c r="A164" s="9" t="s">
        <v>166</v>
      </c>
      <c r="B164" s="10">
        <v>1.8</v>
      </c>
      <c r="C164" s="10">
        <f t="shared" si="5"/>
        <v>6.48</v>
      </c>
      <c r="D164" s="10">
        <v>6.1</v>
      </c>
      <c r="E164" s="36">
        <f t="shared" si="4"/>
        <v>21.96</v>
      </c>
      <c r="F164" s="11">
        <v>158</v>
      </c>
    </row>
    <row r="165" spans="1:7" ht="18" customHeight="1">
      <c r="A165" s="2" t="s">
        <v>167</v>
      </c>
      <c r="B165" s="3">
        <v>0.6</v>
      </c>
      <c r="C165" s="3">
        <f t="shared" si="5"/>
        <v>2.16</v>
      </c>
      <c r="D165" s="3">
        <v>4.0999999999999996</v>
      </c>
      <c r="E165" s="31">
        <f t="shared" si="4"/>
        <v>14.76</v>
      </c>
      <c r="F165" s="4">
        <v>182</v>
      </c>
    </row>
    <row r="166" spans="1:7" ht="18" customHeight="1">
      <c r="A166" s="2" t="s">
        <v>168</v>
      </c>
      <c r="B166" s="3">
        <v>1.5</v>
      </c>
      <c r="C166" s="3">
        <f t="shared" si="5"/>
        <v>5.4</v>
      </c>
      <c r="D166" s="3">
        <v>4.0999999999999996</v>
      </c>
      <c r="E166" s="31">
        <f t="shared" si="4"/>
        <v>14.76</v>
      </c>
      <c r="F166" s="4">
        <v>232</v>
      </c>
    </row>
    <row r="167" spans="1:7" ht="18" customHeight="1">
      <c r="A167" s="18" t="s">
        <v>169</v>
      </c>
      <c r="B167" s="23">
        <v>2.7</v>
      </c>
      <c r="C167" s="23">
        <f t="shared" si="5"/>
        <v>9.7200000000000006</v>
      </c>
      <c r="D167" s="23">
        <v>7.7</v>
      </c>
      <c r="E167" s="23">
        <f t="shared" si="4"/>
        <v>27.720000000000002</v>
      </c>
      <c r="F167" s="24">
        <v>236</v>
      </c>
      <c r="G167" s="19" t="s">
        <v>193</v>
      </c>
    </row>
    <row r="168" spans="1:7" ht="18" customHeight="1">
      <c r="A168" s="18" t="s">
        <v>170</v>
      </c>
      <c r="B168" s="23">
        <v>3.2</v>
      </c>
      <c r="C168" s="23">
        <f t="shared" si="5"/>
        <v>11.520000000000001</v>
      </c>
      <c r="D168" s="23">
        <v>7.7</v>
      </c>
      <c r="E168" s="23">
        <f t="shared" si="4"/>
        <v>27.720000000000002</v>
      </c>
      <c r="F168" s="24">
        <v>235</v>
      </c>
      <c r="G168" s="19" t="s">
        <v>193</v>
      </c>
    </row>
    <row r="169" spans="1:7" ht="18" customHeight="1">
      <c r="A169" s="2" t="s">
        <v>171</v>
      </c>
      <c r="B169" s="3">
        <v>2.4</v>
      </c>
      <c r="C169" s="3">
        <f t="shared" si="5"/>
        <v>8.64</v>
      </c>
      <c r="D169" s="3">
        <v>5.0999999999999996</v>
      </c>
      <c r="E169" s="31">
        <f t="shared" si="4"/>
        <v>18.36</v>
      </c>
      <c r="F169" s="4">
        <v>229</v>
      </c>
    </row>
    <row r="170" spans="1:7" ht="18" customHeight="1">
      <c r="A170" s="18" t="s">
        <v>172</v>
      </c>
      <c r="B170" s="23">
        <v>2.2999999999999998</v>
      </c>
      <c r="C170" s="23">
        <f t="shared" si="5"/>
        <v>8.2799999999999994</v>
      </c>
      <c r="D170" s="23">
        <v>8.1999999999999993</v>
      </c>
      <c r="E170" s="23">
        <f t="shared" si="4"/>
        <v>29.52</v>
      </c>
      <c r="F170" s="24">
        <v>175</v>
      </c>
      <c r="G170" s="19" t="s">
        <v>191</v>
      </c>
    </row>
    <row r="171" spans="1:7" ht="18" customHeight="1">
      <c r="A171" s="6" t="s">
        <v>173</v>
      </c>
      <c r="B171" s="7">
        <v>1.5</v>
      </c>
      <c r="C171" s="3">
        <f t="shared" si="5"/>
        <v>5.4</v>
      </c>
      <c r="D171" s="7">
        <v>4.5999999999999996</v>
      </c>
      <c r="E171" s="31">
        <f t="shared" si="4"/>
        <v>16.559999999999999</v>
      </c>
      <c r="F171" s="8">
        <v>142</v>
      </c>
    </row>
    <row r="172" spans="1:7" ht="18" customHeight="1">
      <c r="A172" s="18" t="s">
        <v>174</v>
      </c>
      <c r="B172" s="23">
        <v>3.3</v>
      </c>
      <c r="C172" s="23">
        <f t="shared" si="5"/>
        <v>11.879999999999999</v>
      </c>
      <c r="D172" s="23">
        <v>8.1999999999999993</v>
      </c>
      <c r="E172" s="23">
        <f t="shared" si="4"/>
        <v>29.52</v>
      </c>
      <c r="F172" s="24">
        <v>121</v>
      </c>
      <c r="G172" s="19" t="s">
        <v>194</v>
      </c>
    </row>
    <row r="173" spans="1:7" ht="18" customHeight="1">
      <c r="A173" s="25" t="s">
        <v>175</v>
      </c>
      <c r="B173" s="5">
        <v>4.7</v>
      </c>
      <c r="C173" s="5">
        <f t="shared" si="5"/>
        <v>16.920000000000002</v>
      </c>
      <c r="D173" s="5">
        <v>9.6999999999999993</v>
      </c>
      <c r="E173" s="5">
        <f t="shared" si="4"/>
        <v>34.92</v>
      </c>
      <c r="F173" s="12">
        <v>138</v>
      </c>
      <c r="G173" s="26" t="s">
        <v>185</v>
      </c>
    </row>
    <row r="174" spans="1:7" ht="18" customHeight="1">
      <c r="A174" s="34">
        <v>45259.583333333336</v>
      </c>
      <c r="B174" s="5">
        <v>5.6</v>
      </c>
      <c r="C174" s="5">
        <f t="shared" si="5"/>
        <v>20.16</v>
      </c>
      <c r="D174" s="5">
        <v>13.3</v>
      </c>
      <c r="E174" s="5">
        <f t="shared" si="4"/>
        <v>47.88</v>
      </c>
      <c r="F174" s="12">
        <v>154</v>
      </c>
      <c r="G174" s="26" t="s">
        <v>184</v>
      </c>
    </row>
    <row r="175" spans="1:7" ht="18" customHeight="1">
      <c r="A175" s="25" t="s">
        <v>176</v>
      </c>
      <c r="B175" s="5">
        <v>4.9000000000000004</v>
      </c>
      <c r="C175" s="5">
        <f t="shared" si="5"/>
        <v>17.64</v>
      </c>
      <c r="D175" s="5">
        <v>12.2</v>
      </c>
      <c r="E175" s="5">
        <f t="shared" si="4"/>
        <v>43.92</v>
      </c>
      <c r="F175" s="12">
        <v>124</v>
      </c>
      <c r="G175" s="26" t="s">
        <v>185</v>
      </c>
    </row>
    <row r="176" spans="1:7" ht="18" customHeight="1">
      <c r="A176" s="9" t="s">
        <v>177</v>
      </c>
      <c r="B176" s="10">
        <v>2.4</v>
      </c>
      <c r="C176" s="3">
        <f t="shared" si="5"/>
        <v>8.64</v>
      </c>
      <c r="D176" s="10">
        <v>4.5999999999999996</v>
      </c>
      <c r="E176" s="31">
        <f t="shared" si="4"/>
        <v>16.559999999999999</v>
      </c>
      <c r="F176" s="11">
        <v>94</v>
      </c>
    </row>
    <row r="177" spans="1:6" ht="18" customHeight="1">
      <c r="A177" s="2" t="s">
        <v>178</v>
      </c>
      <c r="B177" s="3">
        <v>1</v>
      </c>
      <c r="C177" s="3">
        <f t="shared" si="5"/>
        <v>3.6</v>
      </c>
      <c r="D177" s="3">
        <v>3.6</v>
      </c>
      <c r="E177" s="31">
        <f t="shared" si="4"/>
        <v>12.96</v>
      </c>
      <c r="F177" s="4">
        <v>70</v>
      </c>
    </row>
    <row r="178" spans="1:6" ht="18" customHeight="1">
      <c r="A178" s="2" t="s">
        <v>179</v>
      </c>
      <c r="B178" s="3">
        <v>0.7</v>
      </c>
      <c r="C178" s="3">
        <f t="shared" si="5"/>
        <v>2.52</v>
      </c>
      <c r="D178" s="3">
        <v>3.1</v>
      </c>
      <c r="E178" s="31">
        <f t="shared" si="4"/>
        <v>11.16</v>
      </c>
      <c r="F178" s="4">
        <v>4</v>
      </c>
    </row>
    <row r="179" spans="1:6" ht="18" customHeight="1">
      <c r="A179" s="2" t="s">
        <v>180</v>
      </c>
      <c r="B179" s="3">
        <v>1.9</v>
      </c>
      <c r="C179" s="3">
        <f t="shared" si="5"/>
        <v>6.84</v>
      </c>
      <c r="D179" s="3">
        <v>6.1</v>
      </c>
      <c r="E179" s="31">
        <f t="shared" si="4"/>
        <v>21.96</v>
      </c>
      <c r="F179" s="4">
        <v>251</v>
      </c>
    </row>
    <row r="180" spans="1:6" ht="18" customHeight="1">
      <c r="A180" s="2" t="s">
        <v>181</v>
      </c>
      <c r="B180" s="3">
        <v>2.4</v>
      </c>
      <c r="C180" s="3">
        <f t="shared" si="5"/>
        <v>8.64</v>
      </c>
      <c r="D180" s="3">
        <v>6.1</v>
      </c>
      <c r="E180" s="31">
        <f t="shared" si="4"/>
        <v>21.96</v>
      </c>
      <c r="F180" s="4">
        <v>222</v>
      </c>
    </row>
    <row r="181" spans="1:6" ht="18" customHeight="1">
      <c r="A181" s="2" t="s">
        <v>182</v>
      </c>
      <c r="B181" s="3">
        <v>1.2</v>
      </c>
      <c r="C181" s="3">
        <f t="shared" si="5"/>
        <v>4.32</v>
      </c>
      <c r="D181" s="3">
        <v>5.6</v>
      </c>
      <c r="E181" s="31">
        <f t="shared" si="4"/>
        <v>20.16</v>
      </c>
      <c r="F181" s="4">
        <v>72</v>
      </c>
    </row>
    <row r="182" spans="1:6" ht="18" customHeight="1">
      <c r="A182" s="2" t="s">
        <v>183</v>
      </c>
      <c r="B182" s="3">
        <v>1.5</v>
      </c>
      <c r="C182" s="3">
        <f t="shared" si="5"/>
        <v>5.4</v>
      </c>
      <c r="D182" s="3">
        <v>4.5999999999999996</v>
      </c>
      <c r="E182" s="31">
        <f t="shared" si="4"/>
        <v>16.559999999999999</v>
      </c>
      <c r="F182" s="4">
        <v>208</v>
      </c>
    </row>
    <row r="183" spans="1:6">
      <c r="A183" s="15" t="s">
        <v>197</v>
      </c>
      <c r="B183" s="16">
        <f>AVERAGE(B3:B182)</f>
        <v>2.8694444444444445</v>
      </c>
      <c r="C183" s="3">
        <f>AVERAGE(C4:C182)</f>
        <v>10.315307262569839</v>
      </c>
      <c r="D183" s="16">
        <f>AVERAGE(D3:D182)</f>
        <v>7.1566666666666645</v>
      </c>
      <c r="E183" s="16">
        <f>AVERAGE(E3:E182)</f>
        <v>25.764000000000024</v>
      </c>
      <c r="F183" s="17"/>
    </row>
    <row r="184" spans="1:6">
      <c r="A184" s="15" t="s">
        <v>198</v>
      </c>
      <c r="B184" s="16">
        <f>MEDIAN(B3:B182)</f>
        <v>2.4500000000000002</v>
      </c>
      <c r="C184" s="3">
        <f>MEDIAN(C4:C183)</f>
        <v>8.82</v>
      </c>
      <c r="D184" s="16">
        <f>MEDIAN(D3:D182)</f>
        <v>6.85</v>
      </c>
      <c r="E184" s="16">
        <f>MEDIAN(E3:E183)</f>
        <v>25.56</v>
      </c>
      <c r="F184" s="17"/>
    </row>
  </sheetData>
  <sheetProtection formatCells="0" formatColumns="0" formatRows="0" insertColumns="0" insertRows="0" insertHyperlinks="0" deleteColumns="0" deleteRows="0" sort="0" autoFilter="0" pivotTables="0"/>
  <autoFilter ref="A2:F2"/>
  <mergeCells count="2">
    <mergeCell ref="A1:A2"/>
    <mergeCell ref="B1:F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4.4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D6F29FF5-0831-4C9F-9BC2-1767AEF75CBF}"/>
</file>

<file path=customXml/itemProps2.xml><?xml version="1.0" encoding="utf-8"?>
<ds:datastoreItem xmlns:ds="http://schemas.openxmlformats.org/officeDocument/2006/customXml" ds:itemID="{21A8586C-867D-4F13-A8EA-5A0A717BA4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EF624F-75D5-4F08-800B-C3AADC13E6E2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b94bc0b4-9893-4984-81c1-4f72d4181d4a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graph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Natalie Newman</cp:lastModifiedBy>
  <dcterms:created xsi:type="dcterms:W3CDTF">2024-02-01T12:57:31Z</dcterms:created>
  <dcterms:modified xsi:type="dcterms:W3CDTF">2024-02-07T09:22:39Z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