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coli'!$A$1:$B$42</definedName>
    <definedName name="_xlnm._FilterDatabase" localSheetId="2" hidden="1">'Faecal streptococci'!$A$1:$B$75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7" i="3" l="1"/>
  <c r="B56" i="3" l="1"/>
  <c r="B54" i="3" l="1"/>
  <c r="B53" i="3" l="1"/>
  <c r="B41" i="2" l="1"/>
  <c r="B48" i="3" l="1"/>
  <c r="B46" i="3" l="1"/>
  <c r="B44" i="3" l="1"/>
  <c r="B45" i="3" l="1"/>
  <c r="B34" i="2" l="1"/>
  <c r="B41" i="3" l="1"/>
  <c r="B27" i="2" l="1"/>
  <c r="B21" i="2" l="1"/>
  <c r="B40" i="3" l="1"/>
  <c r="B39" i="3" l="1"/>
  <c r="B37" i="3" l="1"/>
  <c r="B30" i="3"/>
  <c r="B17" i="3"/>
  <c r="B16" i="3"/>
  <c r="B15" i="3"/>
  <c r="B14" i="3"/>
  <c r="B15" i="2" l="1"/>
  <c r="B7" i="2" l="1"/>
  <c r="B6" i="2" l="1"/>
  <c r="B5" i="2" l="1"/>
  <c r="B4" i="2" l="1"/>
  <c r="B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<sst xmlns="http://schemas.openxmlformats.org/spreadsheetml/2006/main" count="55" uniqueCount="35">
  <si>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</si>
  <si>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</si>
  <si>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</si>
  <si>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</si>
  <si>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</si>
  <si>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</si>
  <si>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</si>
  <si>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</si>
  <si>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</si>
  <si>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</si>
  <si>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</si>
  <si>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</si>
  <si>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</si>
  <si>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</si>
  <si>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</si>
  <si>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</si>
  <si>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</si>
  <si>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Northern Camps Bay</t>
  </si>
  <si>
    <t>Not Enough Data</t>
  </si>
  <si>
    <t>68/-</t>
  </si>
  <si>
    <t>Excellent</t>
  </si>
  <si>
    <t>58/-</t>
  </si>
  <si>
    <t>14/-</t>
  </si>
  <si>
    <t>Poor</t>
  </si>
  <si>
    <t>525/435</t>
  </si>
  <si>
    <t>Sufficient</t>
  </si>
  <si>
    <t>119/-</t>
  </si>
  <si>
    <t>Good</t>
  </si>
  <si>
    <t>124/-</t>
  </si>
  <si>
    <t>493/137</t>
  </si>
  <si>
    <t>318/116</t>
  </si>
  <si>
    <t>40/-</t>
  </si>
  <si>
    <t>38/-</t>
  </si>
  <si>
    <t>55/-</t>
  </si>
  <si>
    <t>120/-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</si>
</sst>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8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isha"/>
      <family val="2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7" fillId="5" borderId="7" applyProtection="0">
      <alignment horizontal="center" vertical="center" wrapText="1"/>
    </xf>
    <xf numFmtId="0" fontId="7" fillId="6" borderId="7">
      <alignment horizontal="center" vertical="center" wrapText="1"/>
    </xf>
  </cellStyleXfs>
  <cellXfs count="64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165" fontId="3" fillId="0" borderId="0" xfId="0" applyNumberFormat="1" applyFont="1" applyFill="1" applyAlignme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4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0" fillId="0" borderId="0" xfId="0" applyNumberFormat="1" applyFill="1" applyAlignment="1">
      <alignment horizontal="left"/>
    </xf>
    <xf numFmtId="167" fontId="0" fillId="0" borderId="0" xfId="0" applyNumberFormat="1"/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1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167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4" fillId="2" borderId="0" xfId="1" applyFont="1" applyBorder="1" applyAlignment="1" applyProtection="1">
      <alignment horizontal="center"/>
      <protection locked="0"/>
    </xf>
    <xf numFmtId="0" fontId="5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104775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A4" zoomScaleNormal="100" workbookViewId="0">
      <selection activeCell="F19" sqref="F19"/>
    </sheetView>
  </sheetViews>
  <sheetFormatPr defaultRowHeight="15"/>
  <cols>
    <col min="1" max="1" width="1.42578125" customWidth="1"/>
    <col min="2" max="2" width="2.5703125" customWidth="1"/>
    <col min="3" max="3" width="19.5703125" customWidth="1"/>
    <col min="4" max="4" width="19.42578125" customWidth="1"/>
    <col min="5" max="5" width="9.5703125" customWidth="1"/>
    <col min="6" max="6" width="18" bestFit="1" customWidth="1"/>
    <col min="7" max="7" width="9.5703125" customWidth="1"/>
    <col min="8" max="10" width="11.5703125" customWidth="1"/>
    <col min="11" max="11" width="9.5703125" bestFit="1" customWidth="1"/>
  </cols>
  <sheetData>
    <row r="1" spans="1:10" s="6" customFormat="1" ht="7.5" customHeight="1">
      <c r="A1" s="10"/>
      <c r="B1" s="10"/>
      <c r="C1" s="11"/>
      <c r="D1" s="10"/>
      <c r="E1" s="10"/>
      <c r="F1" s="12"/>
      <c r="G1" s="12"/>
      <c r="H1" s="12"/>
      <c r="I1" s="16"/>
      <c r="J1" s="5"/>
    </row>
    <row r="2" spans="1:10" s="6" customFormat="1">
      <c r="A2" s="10"/>
      <c r="B2" s="18"/>
      <c r="C2" s="20"/>
      <c r="D2" s="18"/>
      <c r="E2" s="18"/>
      <c r="F2" s="15"/>
      <c r="G2" s="15"/>
      <c r="H2" s="15"/>
      <c r="I2" s="19"/>
      <c r="J2" s="19"/>
    </row>
    <row r="3" spans="1:10" s="6" customFormat="1" ht="15" customHeight="1">
      <c r="A3" s="10"/>
      <c r="B3" s="18"/>
      <c r="C3" s="60" t="s">
        <v>17</v>
      </c>
      <c r="D3" s="60"/>
      <c r="E3" s="60"/>
      <c r="F3" s="15"/>
      <c r="G3" s="15"/>
      <c r="H3" s="15"/>
      <c r="I3" s="19"/>
      <c r="J3" s="36"/>
    </row>
    <row r="4" spans="1:10" s="6" customFormat="1" ht="15" customHeight="1">
      <c r="A4" s="10"/>
      <c r="B4" s="18"/>
      <c r="C4" s="60"/>
      <c r="D4" s="60"/>
      <c r="E4" s="60"/>
      <c r="F4" s="15"/>
      <c r="G4" s="15"/>
      <c r="H4" s="15"/>
      <c r="I4" s="19"/>
      <c r="J4" s="19"/>
    </row>
    <row r="5" spans="1:10" s="21" customFormat="1" ht="8.25" customHeight="1">
      <c r="A5" s="10"/>
      <c r="B5" s="18"/>
      <c r="C5" s="24"/>
      <c r="D5" s="24"/>
      <c r="E5" s="24"/>
      <c r="F5" s="15"/>
      <c r="G5" s="15"/>
      <c r="H5" s="15"/>
      <c r="I5" s="19"/>
      <c r="J5" s="19"/>
    </row>
    <row r="6" spans="1:10" s="6" customFormat="1" ht="15" customHeight="1">
      <c r="A6" s="10"/>
      <c r="B6" s="18"/>
      <c r="C6" s="9" t="s">
        <v>15</v>
      </c>
      <c r="D6" s="61"/>
      <c r="E6" s="61"/>
      <c r="F6" s="15"/>
      <c r="G6" s="15"/>
      <c r="H6" s="15"/>
      <c r="I6" s="19"/>
      <c r="J6" s="19"/>
    </row>
    <row r="7" spans="1:10" s="6" customFormat="1" ht="15" customHeight="1">
      <c r="A7" s="10"/>
      <c r="B7" s="18"/>
      <c r="C7" s="9" t="s">
        <v>8</v>
      </c>
      <c r="D7" s="61"/>
      <c r="E7" s="61"/>
      <c r="F7" s="15"/>
      <c r="G7" s="15"/>
      <c r="H7" s="15"/>
      <c r="I7" s="19"/>
      <c r="J7" s="19"/>
    </row>
    <row r="8" spans="1:10" s="6" customFormat="1" ht="15" customHeight="1">
      <c r="A8" s="10"/>
      <c r="B8" s="18"/>
      <c r="C8" s="9" t="s">
        <v>9</v>
      </c>
      <c r="D8" s="61"/>
      <c r="E8" s="61"/>
      <c r="F8" s="15"/>
      <c r="G8" s="15"/>
      <c r="H8" s="15"/>
      <c r="I8" s="19"/>
      <c r="J8" s="19"/>
    </row>
    <row r="9" spans="1:10" s="6" customFormat="1" ht="15" customHeight="1">
      <c r="A9" s="10"/>
      <c r="B9" s="18"/>
      <c r="C9" s="9" t="s">
        <v>3</v>
      </c>
      <c r="D9" s="61">
        <v>12</v>
      </c>
      <c r="E9" s="61"/>
      <c r="F9" s="15"/>
      <c r="G9" s="15"/>
      <c r="H9" s="15"/>
      <c r="I9" s="19"/>
      <c r="J9" s="19"/>
    </row>
    <row r="10" spans="1:10" s="6" customFormat="1" ht="7.5" customHeight="1">
      <c r="A10" s="10"/>
      <c r="B10" s="18"/>
      <c r="C10" s="17"/>
      <c r="D10" s="18"/>
      <c r="E10" s="18"/>
      <c r="F10" s="15"/>
      <c r="G10" s="15"/>
      <c r="H10" s="15"/>
      <c r="I10" s="19"/>
      <c r="J10" s="19"/>
    </row>
    <row r="11" spans="1:10" s="6" customFormat="1" ht="15" customHeight="1">
      <c r="A11" s="10"/>
      <c r="B11" s="37"/>
      <c r="C11" s="9" t="s">
        <v>10</v>
      </c>
      <c r="D11" s="62">
        <f ca="1">TODAY()</f>
        <v>45740</v>
      </c>
      <c r="E11" s="62"/>
      <c r="F11" s="15"/>
      <c r="G11" s="15"/>
      <c r="H11" s="15"/>
      <c r="I11" s="19"/>
      <c r="J11" s="19"/>
    </row>
    <row r="12" spans="1:10" s="6" customFormat="1" ht="15" customHeight="1">
      <c r="A12" s="10"/>
      <c r="B12" s="18"/>
      <c r="C12" s="9" t="s">
        <v>13</v>
      </c>
      <c r="D12" s="62">
        <f>MAX(MAX('Escherichia coli'!A:A),MAX('Faecal streptococci'!A:A))</f>
        <v>45734</v>
      </c>
      <c r="E12" s="62"/>
      <c r="F12" s="13"/>
      <c r="G12" s="15"/>
      <c r="H12" s="15"/>
      <c r="I12" s="19"/>
      <c r="J12" s="19"/>
    </row>
    <row r="13" spans="1:10" s="6" customFormat="1" ht="15" customHeight="1">
      <c r="A13" s="10"/>
      <c r="B13" s="18"/>
      <c r="C13" s="9" t="s">
        <v>4</v>
      </c>
      <c r="D13" s="63">
        <f ca="1">YEAR(D11)+(MONTH(D11)&gt;=D9)</f>
        <v>2025</v>
      </c>
      <c r="E13" s="63"/>
      <c r="F13" s="14"/>
      <c r="G13" s="15"/>
      <c r="H13" s="15"/>
      <c r="I13" s="19"/>
      <c r="J13" s="19"/>
    </row>
    <row r="14" spans="1:10" s="6" customFormat="1">
      <c r="A14" s="10"/>
      <c r="B14" s="18"/>
      <c r="C14" s="9" t="s">
        <v>11</v>
      </c>
      <c r="D14" s="62" t="str">
        <f ca="1">CONCATENATE(TEXT(DATE(D13-1,D9,1), "yyyy/mm/dd")," - ",TEXT(D11,"yyyy/mm/dd"))</f>
        <v>2024/12/01 - 2025/03/24</v>
      </c>
      <c r="E14" s="62"/>
      <c r="F14" s="34"/>
      <c r="G14" s="15"/>
      <c r="H14" s="15"/>
      <c r="I14" s="19"/>
      <c r="J14" s="19"/>
    </row>
    <row r="15" spans="1:10" s="6" customFormat="1">
      <c r="A15" s="10"/>
      <c r="B15" s="18"/>
      <c r="C15" s="9" t="s">
        <v>12</v>
      </c>
      <c r="D15" s="62" t="str">
        <f ca="1">CONCATENATE(TEXT(DATE(D13-5,D9,1), "yyyy/mm/dd")," - ",TEXT(D11,"yyyy/mm/dd"))</f>
        <v>2020/12/01 - 2025/03/24</v>
      </c>
      <c r="E15" s="62"/>
      <c r="F15" s="34"/>
      <c r="G15" s="15"/>
      <c r="H15" s="15"/>
      <c r="I15" s="19"/>
      <c r="J15" s="19"/>
    </row>
    <row r="16" spans="1:10" s="6" customFormat="1">
      <c r="A16" s="10"/>
      <c r="B16" s="10"/>
      <c r="C16" s="11"/>
      <c r="D16" s="10"/>
      <c r="E16" s="10"/>
      <c r="F16" s="38"/>
      <c r="G16" s="38"/>
      <c r="H16" s="38"/>
      <c r="I16" s="39"/>
      <c r="J16" s="40"/>
    </row>
    <row r="17" spans="1:13" s="6" customFormat="1">
      <c r="A17" s="10"/>
      <c r="B17" s="10"/>
      <c r="C17" s="23"/>
      <c r="D17" s="8" t="s">
        <v>6</v>
      </c>
      <c r="E17" s="43" t="s">
        <v>14</v>
      </c>
      <c r="F17" s="33" t="s">
        <v>7</v>
      </c>
      <c r="G17" s="43" t="s">
        <v>14</v>
      </c>
      <c r="H17" s="38"/>
      <c r="I17" s="39"/>
      <c r="J17" s="41"/>
    </row>
    <row r="18" spans="1:13" s="6" customFormat="1">
      <c r="A18" s="10"/>
      <c r="B18" s="10"/>
      <c r="C18" s="31" t="str">
        <f ca="1">CONCATENATE(D13," to date")</f>
        <v>2025 to date</v>
      </c>
      <c r="D18" s="32" t="s">
        <v>18</v>
      </c>
      <c r="E18" s="29"/>
      <c r="F18" s="25" t="s">
        <v>20</v>
      </c>
      <c r="G18" s="29" t="s">
        <v>32</v>
      </c>
      <c r="H18" s="22"/>
      <c r="I18" s="30"/>
      <c r="J18" s="5"/>
    </row>
    <row r="19" spans="1:13" s="6" customFormat="1">
      <c r="A19" s="10"/>
      <c r="B19" s="10"/>
      <c r="C19" s="31" t="str">
        <f ca="1">CONCATENATE(D13-5," - ",D13)</f>
        <v>2020 - 2025</v>
      </c>
      <c r="D19" s="25" t="s">
        <v>25</v>
      </c>
      <c r="E19" s="42" t="s">
        <v>30</v>
      </c>
      <c r="F19" s="25" t="s">
        <v>20</v>
      </c>
      <c r="G19" s="42" t="s">
        <v>33</v>
      </c>
      <c r="H19" s="22"/>
      <c r="I19" s="35"/>
      <c r="J19" s="7"/>
      <c r="K19" s="7"/>
      <c r="L19" s="7"/>
      <c r="M19" s="7"/>
    </row>
    <row r="20" spans="1:13" s="6" customFormat="1">
      <c r="A20" s="10"/>
      <c r="B20" s="10"/>
      <c r="C20" s="31" t="s">
        <v>16</v>
      </c>
      <c r="D20" s="25" t="s">
        <v>18</v>
      </c>
      <c r="E20" s="42"/>
      <c r="F20" s="25" t="s">
        <v>27</v>
      </c>
      <c r="G20" s="42" t="s">
        <v>34</v>
      </c>
      <c r="H20" s="22"/>
      <c r="I20" s="30"/>
      <c r="J20" s="7"/>
      <c r="K20" s="7"/>
      <c r="L20" s="7"/>
      <c r="M20" s="7"/>
    </row>
    <row r="21" spans="1:13" s="6" customFormat="1">
      <c r="A21" s="10"/>
      <c r="B21" s="10"/>
      <c r="C21" s="17" t="s">
        <v>5</v>
      </c>
      <c r="D21" s="25" t="s">
        <v>27</v>
      </c>
      <c r="E21" s="42" t="s">
        <v>28</v>
      </c>
      <c r="F21" s="25" t="s">
        <v>20</v>
      </c>
      <c r="G21" s="42" t="s">
        <v>31</v>
      </c>
      <c r="H21" s="22"/>
      <c r="I21" s="30"/>
      <c r="J21" s="7"/>
      <c r="K21" s="7"/>
      <c r="L21" s="7"/>
      <c r="M21" s="7"/>
    </row>
    <row r="22" spans="1:13" s="6" customFormat="1">
      <c r="A22" s="10"/>
      <c r="B22" s="10"/>
      <c r="C22" s="23">
        <v>2025</v>
      </c>
      <c r="D22" s="10" t="s">
        <v>18</v>
      </c>
      <c r="E22" s="42"/>
      <c r="F22" s="25" t="s">
        <v>20</v>
      </c>
      <c r="G22" s="42" t="s">
        <v>32</v>
      </c>
      <c r="H22" s="22"/>
      <c r="I22" s="30"/>
      <c r="J22" s="7"/>
      <c r="K22" s="7"/>
      <c r="L22" s="7"/>
      <c r="M22" s="7"/>
    </row>
    <row r="23" spans="1:13" s="6" customFormat="1">
      <c r="A23" s="10"/>
      <c r="B23" s="10"/>
      <c r="C23" s="23">
        <v>2024</v>
      </c>
      <c r="D23" s="10" t="s">
        <v>18</v>
      </c>
      <c r="E23" s="42"/>
      <c r="F23" s="25" t="s">
        <v>25</v>
      </c>
      <c r="G23" s="42" t="s">
        <v>29</v>
      </c>
      <c r="H23" s="22"/>
      <c r="I23" s="30"/>
      <c r="J23" s="7"/>
      <c r="K23" s="7"/>
      <c r="L23" s="7"/>
      <c r="M23" s="7"/>
    </row>
    <row r="24" spans="1:13" s="6" customFormat="1">
      <c r="A24" s="10"/>
      <c r="B24" s="10"/>
      <c r="C24" s="23">
        <v>2023</v>
      </c>
      <c r="D24" s="10" t="s">
        <v>27</v>
      </c>
      <c r="E24" s="42" t="s">
        <v>26</v>
      </c>
      <c r="F24" s="25" t="s">
        <v>18</v>
      </c>
      <c r="G24" s="42"/>
      <c r="H24" s="22"/>
      <c r="I24" s="30"/>
      <c r="J24" s="7"/>
      <c r="K24" s="7"/>
      <c r="L24" s="7"/>
      <c r="M24" s="7"/>
    </row>
    <row r="25" spans="1:13" s="6" customFormat="1">
      <c r="A25" s="10"/>
      <c r="B25" s="10"/>
      <c r="C25" s="23">
        <v>2022</v>
      </c>
      <c r="D25" s="10" t="s">
        <v>23</v>
      </c>
      <c r="E25" s="42" t="s">
        <v>24</v>
      </c>
      <c r="F25" s="25" t="s">
        <v>18</v>
      </c>
      <c r="G25" s="42"/>
      <c r="H25" s="22"/>
      <c r="I25" s="30"/>
      <c r="J25" s="7"/>
      <c r="K25" s="7"/>
      <c r="L25" s="7"/>
      <c r="M25" s="7"/>
    </row>
    <row r="26" spans="1:13" s="6" customFormat="1">
      <c r="A26" s="10"/>
      <c r="B26" s="10"/>
      <c r="C26" s="23">
        <v>2021</v>
      </c>
      <c r="D26" s="6" t="s">
        <v>20</v>
      </c>
      <c r="E26" s="29" t="s">
        <v>19</v>
      </c>
      <c r="F26" s="26" t="s">
        <v>20</v>
      </c>
      <c r="G26" s="29" t="s">
        <v>21</v>
      </c>
      <c r="H26" s="22"/>
      <c r="I26" s="30"/>
      <c r="J26" s="7"/>
    </row>
    <row r="27" spans="1:13" s="6" customFormat="1">
      <c r="A27" s="10"/>
      <c r="B27" s="10"/>
      <c r="C27" s="20">
        <v>2020</v>
      </c>
      <c r="D27" s="25" t="s">
        <v>18</v>
      </c>
      <c r="E27" s="10"/>
      <c r="F27" s="27" t="s">
        <v>20</v>
      </c>
      <c r="G27" s="22" t="s">
        <v>22</v>
      </c>
      <c r="H27" s="22"/>
      <c r="I27" s="30"/>
      <c r="J27" s="7"/>
    </row>
    <row r="28" spans="1:13" s="6" customFormat="1">
      <c r="A28" s="10"/>
      <c r="B28" s="10"/>
      <c r="C28" s="18">
        <v>2014</v>
      </c>
      <c r="D28" s="25" t="s">
        <v>18</v>
      </c>
      <c r="E28" s="10"/>
      <c r="F28" s="27" t="s">
        <v>18</v>
      </c>
      <c r="G28" s="22"/>
      <c r="H28" s="22"/>
      <c r="I28" s="30"/>
      <c r="J28" s="7"/>
    </row>
    <row r="29" spans="1:13" s="6" customFormat="1">
      <c r="A29" s="10"/>
      <c r="B29" s="10"/>
      <c r="C29" s="18"/>
      <c r="D29" s="25"/>
      <c r="E29" s="10"/>
      <c r="F29" s="27"/>
      <c r="G29" s="22"/>
      <c r="H29" s="22"/>
      <c r="I29" s="30"/>
      <c r="J29" s="7"/>
    </row>
    <row r="30" spans="1:13" s="6" customFormat="1">
      <c r="A30" s="10"/>
      <c r="B30" s="10"/>
      <c r="C30" s="18"/>
      <c r="D30" s="25"/>
      <c r="E30" s="10"/>
      <c r="F30" s="27"/>
      <c r="G30" s="22"/>
      <c r="H30" s="22"/>
      <c r="I30" s="30"/>
      <c r="J30" s="7"/>
    </row>
    <row r="31" spans="1:13" s="6" customFormat="1">
      <c r="A31" s="10"/>
      <c r="B31" s="10"/>
      <c r="C31" s="18"/>
      <c r="D31" s="25"/>
      <c r="E31" s="10"/>
      <c r="F31" s="27"/>
      <c r="G31" s="22"/>
      <c r="H31" s="22"/>
      <c r="I31" s="30"/>
      <c r="J31" s="7"/>
    </row>
    <row r="32" spans="1:13" s="6" customFormat="1">
      <c r="A32" s="10"/>
      <c r="B32" s="10"/>
      <c r="C32" s="18"/>
      <c r="D32" s="25"/>
      <c r="E32" s="10"/>
      <c r="F32" s="27"/>
      <c r="G32" s="22"/>
      <c r="H32" s="22"/>
      <c r="I32" s="30"/>
      <c r="J32" s="7"/>
    </row>
    <row r="33" spans="1:10" s="6" customFormat="1">
      <c r="A33" s="10"/>
      <c r="B33" s="10"/>
      <c r="C33" s="18"/>
      <c r="D33" s="25"/>
      <c r="E33" s="10"/>
      <c r="F33" s="27"/>
      <c r="G33" s="22"/>
      <c r="H33" s="22"/>
      <c r="I33" s="30"/>
      <c r="J33" s="7"/>
    </row>
    <row r="34" spans="1:10" s="6" customFormat="1">
      <c r="A34" s="10"/>
      <c r="B34" s="10"/>
      <c r="C34" s="18"/>
      <c r="D34" s="25"/>
      <c r="E34" s="10"/>
      <c r="F34" s="27"/>
      <c r="G34" s="22"/>
      <c r="H34" s="22"/>
      <c r="I34" s="30"/>
      <c r="J34" s="7"/>
    </row>
    <row r="35" spans="1:10" s="6" customFormat="1">
      <c r="A35" s="10"/>
      <c r="B35" s="10"/>
      <c r="C35" s="18"/>
      <c r="D35" s="25"/>
      <c r="E35" s="10"/>
      <c r="F35" s="27"/>
      <c r="G35" s="22"/>
      <c r="H35" s="22"/>
      <c r="I35" s="30"/>
      <c r="J35" s="7"/>
    </row>
    <row r="36" spans="1:10" s="6" customFormat="1">
      <c r="A36" s="10"/>
      <c r="B36" s="10"/>
      <c r="C36" s="18"/>
      <c r="D36" s="25"/>
      <c r="E36" s="10"/>
      <c r="F36" s="27"/>
      <c r="G36" s="22"/>
      <c r="H36" s="22"/>
      <c r="I36" s="30"/>
      <c r="J36" s="7"/>
    </row>
    <row r="37" spans="1:10" s="6" customFormat="1">
      <c r="A37" s="10"/>
      <c r="B37" s="10"/>
      <c r="C37" s="18"/>
      <c r="D37" s="25"/>
      <c r="E37" s="10"/>
      <c r="F37" s="27"/>
      <c r="G37" s="22"/>
      <c r="H37" s="22"/>
      <c r="I37" s="30"/>
      <c r="J37" s="7"/>
    </row>
    <row r="38" spans="1:10" s="6" customFormat="1">
      <c r="A38" s="10"/>
      <c r="B38" s="10"/>
      <c r="C38" s="18"/>
      <c r="D38" s="25"/>
      <c r="E38" s="10"/>
      <c r="F38" s="27"/>
      <c r="G38" s="22"/>
      <c r="H38" s="22"/>
      <c r="I38" s="30"/>
      <c r="J38" s="7"/>
    </row>
    <row r="39" spans="1:10" s="6" customFormat="1">
      <c r="A39" s="10"/>
      <c r="B39" s="10"/>
      <c r="C39" s="18"/>
      <c r="D39" s="25"/>
      <c r="E39" s="10"/>
      <c r="F39" s="27"/>
      <c r="G39" s="22"/>
      <c r="H39" s="22"/>
      <c r="I39" s="30"/>
      <c r="J39" s="7"/>
    </row>
    <row r="40" spans="1:10" s="6" customFormat="1">
      <c r="A40" s="10"/>
      <c r="B40" s="10"/>
      <c r="C40" s="18"/>
      <c r="D40" s="25"/>
      <c r="E40" s="10"/>
      <c r="F40" s="27"/>
      <c r="G40" s="22"/>
      <c r="H40" s="22"/>
      <c r="I40" s="30"/>
      <c r="J40" s="7"/>
    </row>
    <row r="41" spans="1:10" s="6" customFormat="1">
      <c r="A41" s="10"/>
      <c r="B41" s="10"/>
      <c r="C41" s="18"/>
      <c r="D41" s="25"/>
      <c r="E41" s="10"/>
      <c r="F41" s="27"/>
      <c r="G41" s="22"/>
      <c r="H41" s="22"/>
      <c r="I41" s="30"/>
      <c r="J41" s="7"/>
    </row>
    <row r="42" spans="1:10" s="6" customFormat="1">
      <c r="A42" s="10"/>
      <c r="B42" s="10"/>
      <c r="C42" s="18"/>
      <c r="D42" s="25"/>
      <c r="E42" s="10"/>
      <c r="F42" s="27"/>
      <c r="G42" s="22"/>
      <c r="H42" s="22"/>
      <c r="I42" s="30"/>
      <c r="J42" s="7"/>
    </row>
    <row r="43" spans="1:10" s="6" customFormat="1">
      <c r="A43" s="10"/>
      <c r="B43" s="10"/>
      <c r="C43" s="18"/>
      <c r="D43" s="25"/>
      <c r="E43" s="10"/>
      <c r="F43" s="27"/>
      <c r="G43" s="22"/>
      <c r="H43" s="22"/>
      <c r="I43" s="30"/>
      <c r="J43" s="7"/>
    </row>
    <row r="44" spans="1:10" s="6" customFormat="1">
      <c r="A44" s="10"/>
      <c r="B44" s="10"/>
      <c r="C44" s="18"/>
      <c r="D44" s="25"/>
      <c r="E44" s="10"/>
      <c r="F44" s="27"/>
      <c r="G44" s="22"/>
      <c r="H44" s="22"/>
      <c r="I44" s="30"/>
      <c r="J44" s="7"/>
    </row>
    <row r="45" spans="1:10" s="6" customFormat="1">
      <c r="A45" s="10"/>
      <c r="B45" s="10"/>
      <c r="C45" s="18"/>
      <c r="D45" s="25"/>
      <c r="E45" s="10"/>
      <c r="F45" s="25"/>
      <c r="G45" s="10"/>
      <c r="H45" s="10"/>
      <c r="I45" s="21"/>
    </row>
    <row r="46" spans="1:10" s="6" customFormat="1">
      <c r="A46" s="10"/>
      <c r="B46" s="10"/>
      <c r="C46" s="18"/>
      <c r="D46" s="25"/>
      <c r="E46" s="10"/>
      <c r="F46" s="25"/>
      <c r="G46" s="10"/>
      <c r="H46" s="10"/>
      <c r="I46" s="21"/>
    </row>
    <row r="47" spans="1:10" s="6" customFormat="1">
      <c r="A47" s="10"/>
      <c r="B47" s="10"/>
      <c r="C47" s="10"/>
      <c r="D47" s="25"/>
      <c r="E47" s="10"/>
      <c r="F47" s="25"/>
      <c r="G47" s="10"/>
      <c r="H47" s="10"/>
      <c r="I47" s="21"/>
    </row>
    <row r="48" spans="1:10" s="6" customFormat="1">
      <c r="A48" s="10"/>
      <c r="B48" s="10"/>
      <c r="C48" s="10"/>
      <c r="D48" s="25"/>
      <c r="E48" s="10"/>
      <c r="F48" s="25"/>
      <c r="G48" s="10"/>
      <c r="H48" s="10"/>
      <c r="I48" s="21"/>
    </row>
    <row r="49" spans="1:9" s="6" customFormat="1">
      <c r="A49" s="10"/>
      <c r="B49" s="10"/>
      <c r="C49" s="10"/>
      <c r="D49" s="25"/>
      <c r="E49" s="10"/>
      <c r="F49" s="25"/>
      <c r="G49" s="10"/>
      <c r="H49" s="10"/>
      <c r="I49" s="21"/>
    </row>
    <row r="50" spans="1:9" s="6" customFormat="1">
      <c r="A50" s="10"/>
      <c r="B50" s="10"/>
      <c r="C50" s="10"/>
      <c r="D50" s="25"/>
      <c r="E50" s="10"/>
      <c r="F50" s="25"/>
      <c r="G50" s="10"/>
      <c r="H50" s="10"/>
      <c r="I50" s="21"/>
    </row>
    <row r="51" spans="1:9" s="6" customFormat="1">
      <c r="A51" s="10"/>
      <c r="B51" s="10"/>
      <c r="C51" s="10"/>
      <c r="D51" s="25"/>
      <c r="E51" s="10"/>
      <c r="F51" s="25"/>
      <c r="G51" s="10"/>
      <c r="H51" s="10"/>
      <c r="I51" s="21"/>
    </row>
    <row r="52" spans="1:9" s="6" customFormat="1">
      <c r="A52" s="10"/>
      <c r="B52" s="10"/>
      <c r="C52" s="10"/>
      <c r="D52" s="25"/>
      <c r="E52" s="10"/>
      <c r="F52" s="25"/>
      <c r="G52" s="10"/>
      <c r="H52" s="10"/>
      <c r="I52" s="21"/>
    </row>
    <row r="53" spans="1:9" s="6" customFormat="1">
      <c r="A53" s="10"/>
      <c r="B53" s="10"/>
      <c r="C53" s="10"/>
      <c r="D53" s="25"/>
      <c r="E53" s="10"/>
      <c r="F53" s="25"/>
      <c r="G53" s="10"/>
      <c r="H53" s="10"/>
      <c r="I53" s="21"/>
    </row>
    <row r="54" spans="1:9" s="6" customFormat="1">
      <c r="A54" s="10"/>
      <c r="B54" s="10"/>
      <c r="C54" s="10"/>
      <c r="D54" s="25"/>
      <c r="E54" s="10"/>
      <c r="F54" s="25"/>
      <c r="G54" s="10"/>
      <c r="H54" s="10"/>
      <c r="I54" s="21"/>
    </row>
    <row r="55" spans="1:9" s="6" customFormat="1">
      <c r="A55" s="10"/>
      <c r="B55" s="10"/>
      <c r="C55" s="10"/>
      <c r="D55" s="25"/>
      <c r="E55" s="10"/>
      <c r="F55" s="25"/>
      <c r="G55" s="10"/>
      <c r="H55" s="10"/>
      <c r="I55" s="21"/>
    </row>
    <row r="56" spans="1:9" s="6" customFormat="1">
      <c r="A56" s="10"/>
      <c r="B56" s="10"/>
      <c r="C56" s="10"/>
      <c r="D56" s="25"/>
      <c r="E56" s="10"/>
      <c r="F56" s="25"/>
      <c r="G56" s="10"/>
      <c r="H56" s="10"/>
      <c r="I56" s="21"/>
    </row>
    <row r="57" spans="1:9" s="6" customFormat="1">
      <c r="A57" s="10"/>
      <c r="B57" s="10"/>
      <c r="C57" s="10"/>
      <c r="D57" s="25"/>
      <c r="E57" s="10"/>
      <c r="F57" s="25"/>
      <c r="G57" s="10"/>
      <c r="H57" s="10"/>
      <c r="I57" s="21"/>
    </row>
    <row r="58" spans="1:9" s="6" customFormat="1">
      <c r="A58" s="10"/>
      <c r="B58" s="10"/>
      <c r="C58" s="10"/>
      <c r="D58" s="25"/>
      <c r="E58" s="10"/>
      <c r="F58" s="25"/>
      <c r="G58" s="10"/>
      <c r="H58" s="10"/>
      <c r="I58" s="21"/>
    </row>
    <row r="59" spans="1:9" s="6" customFormat="1">
      <c r="A59" s="10"/>
      <c r="B59" s="10"/>
      <c r="C59" s="10"/>
      <c r="D59" s="25"/>
      <c r="E59" s="10"/>
      <c r="F59" s="25"/>
      <c r="G59" s="10"/>
      <c r="H59" s="10"/>
      <c r="I59" s="21"/>
    </row>
    <row r="60" spans="1:9" s="6" customFormat="1">
      <c r="A60" s="10"/>
      <c r="B60" s="10"/>
      <c r="C60" s="10"/>
      <c r="D60" s="25"/>
      <c r="E60" s="10"/>
      <c r="F60" s="25"/>
      <c r="G60" s="10"/>
      <c r="H60" s="10"/>
      <c r="I60" s="21"/>
    </row>
    <row r="61" spans="1:9" s="6" customFormat="1">
      <c r="A61" s="10"/>
      <c r="B61" s="10"/>
      <c r="C61" s="10"/>
      <c r="D61" s="25"/>
      <c r="E61" s="10"/>
      <c r="F61" s="25"/>
      <c r="G61" s="10"/>
      <c r="H61" s="10"/>
      <c r="I61" s="21"/>
    </row>
    <row r="62" spans="1:9" s="6" customFormat="1">
      <c r="A62" s="10"/>
      <c r="B62" s="10"/>
      <c r="C62" s="10"/>
      <c r="D62" s="25"/>
      <c r="E62" s="10"/>
      <c r="F62" s="25"/>
      <c r="G62" s="10"/>
      <c r="H62" s="10"/>
      <c r="I62" s="21"/>
    </row>
    <row r="63" spans="1:9" s="6" customFormat="1">
      <c r="A63" s="10"/>
      <c r="B63" s="10"/>
      <c r="C63" s="10"/>
      <c r="D63" s="25"/>
      <c r="E63" s="10"/>
      <c r="F63" s="25"/>
      <c r="G63" s="10"/>
      <c r="H63" s="10"/>
      <c r="I63" s="21"/>
    </row>
    <row r="64" spans="1:9" s="6" customFormat="1">
      <c r="A64" s="10"/>
      <c r="B64" s="10"/>
      <c r="C64" s="10"/>
      <c r="D64" s="25"/>
      <c r="E64" s="10"/>
      <c r="F64" s="25"/>
      <c r="G64" s="10"/>
      <c r="H64" s="10"/>
      <c r="I64" s="21"/>
    </row>
    <row r="65" spans="1:10" s="6" customFormat="1">
      <c r="A65" s="10"/>
      <c r="B65" s="10"/>
      <c r="C65" s="10"/>
      <c r="D65" s="25"/>
      <c r="E65" s="10"/>
      <c r="F65" s="25"/>
      <c r="G65" s="10"/>
      <c r="H65" s="10"/>
      <c r="I65" s="21"/>
    </row>
    <row r="66" spans="1:10" s="6" customFormat="1">
      <c r="A66" s="10"/>
      <c r="B66" s="10"/>
      <c r="C66" s="10"/>
      <c r="D66" s="25"/>
      <c r="E66" s="10"/>
      <c r="F66" s="25"/>
      <c r="G66" s="10"/>
      <c r="H66" s="10"/>
      <c r="I66" s="21"/>
    </row>
    <row r="67" spans="1:10" s="6" customFormat="1">
      <c r="A67" s="10"/>
      <c r="B67" s="10"/>
      <c r="C67" s="10"/>
      <c r="D67" s="25"/>
      <c r="E67" s="10"/>
      <c r="F67" s="25"/>
      <c r="G67" s="10"/>
      <c r="H67" s="10"/>
      <c r="I67" s="21"/>
    </row>
    <row r="68" spans="1:10" s="6" customFormat="1">
      <c r="A68" s="10"/>
      <c r="B68" s="10"/>
      <c r="C68" s="10"/>
      <c r="D68" s="25"/>
      <c r="E68" s="10"/>
      <c r="F68" s="25"/>
      <c r="G68" s="10"/>
      <c r="H68" s="10"/>
      <c r="I68" s="21"/>
    </row>
    <row r="69" spans="1:10" s="6" customFormat="1">
      <c r="A69" s="10"/>
      <c r="B69" s="10"/>
      <c r="C69" s="10"/>
      <c r="D69" s="25"/>
      <c r="E69" s="10"/>
      <c r="F69" s="25"/>
      <c r="G69" s="10"/>
      <c r="H69" s="10"/>
      <c r="I69" s="21"/>
    </row>
    <row r="70" spans="1:10" s="6" customFormat="1">
      <c r="A70" s="10"/>
      <c r="B70" s="10"/>
      <c r="C70" s="10"/>
      <c r="D70" s="25"/>
      <c r="E70" s="10"/>
      <c r="F70" s="25"/>
      <c r="G70" s="10"/>
      <c r="H70" s="10"/>
      <c r="I70" s="21"/>
    </row>
    <row r="71" spans="1:10" s="6" customFormat="1">
      <c r="A71" s="10"/>
      <c r="B71" s="10"/>
      <c r="C71" s="10"/>
      <c r="D71" s="25"/>
      <c r="E71" s="10"/>
      <c r="F71" s="25"/>
      <c r="G71" s="10"/>
      <c r="H71" s="10"/>
      <c r="I71" s="21"/>
    </row>
    <row r="72" spans="1:10" s="6" customFormat="1">
      <c r="A72" s="10"/>
      <c r="B72" s="10"/>
      <c r="C72" s="11"/>
      <c r="D72" s="25"/>
      <c r="E72" s="10"/>
      <c r="F72" s="28"/>
      <c r="G72" s="12"/>
      <c r="H72" s="12"/>
      <c r="I72" s="16"/>
      <c r="J72" s="5"/>
    </row>
    <row r="73" spans="1:10" s="6" customFormat="1">
      <c r="A73" s="10"/>
      <c r="B73" s="10"/>
      <c r="C73" s="11"/>
      <c r="D73" s="25"/>
      <c r="E73" s="10"/>
      <c r="F73" s="28"/>
      <c r="G73" s="12"/>
      <c r="H73" s="12"/>
      <c r="I73" s="16"/>
      <c r="J73" s="5"/>
    </row>
    <row r="74" spans="1:10" s="6" customFormat="1">
      <c r="A74" s="10"/>
      <c r="B74" s="10"/>
      <c r="C74" s="11"/>
      <c r="D74" s="25"/>
      <c r="E74" s="10"/>
      <c r="F74" s="28"/>
      <c r="G74" s="12"/>
      <c r="H74" s="12"/>
      <c r="I74" s="16"/>
      <c r="J74" s="5"/>
    </row>
    <row r="75" spans="1:10" s="6" customFormat="1">
      <c r="A75" s="10"/>
      <c r="B75" s="10"/>
      <c r="C75" s="11"/>
      <c r="D75" s="25"/>
      <c r="E75" s="10"/>
      <c r="F75" s="28"/>
      <c r="G75" s="12"/>
      <c r="H75" s="12"/>
      <c r="I75" s="16"/>
      <c r="J75" s="5"/>
    </row>
    <row r="76" spans="1:10" s="6" customFormat="1">
      <c r="A76" s="10"/>
      <c r="B76" s="10"/>
      <c r="C76" s="11"/>
      <c r="D76" s="25"/>
      <c r="E76" s="10"/>
      <c r="F76" s="28"/>
      <c r="G76" s="12"/>
      <c r="H76" s="12"/>
      <c r="I76" s="16"/>
      <c r="J76" s="5"/>
    </row>
    <row r="77" spans="1:10" s="6" customFormat="1">
      <c r="A77" s="10"/>
      <c r="B77" s="10"/>
      <c r="C77" s="11"/>
      <c r="D77" s="25"/>
      <c r="E77" s="10"/>
      <c r="F77" s="28"/>
      <c r="G77" s="12"/>
      <c r="H77" s="12"/>
      <c r="I77" s="16"/>
      <c r="J77" s="5"/>
    </row>
    <row r="78" spans="1:10" s="6" customFormat="1">
      <c r="A78" s="10"/>
      <c r="B78" s="10"/>
      <c r="C78" s="11"/>
      <c r="D78" s="25"/>
      <c r="E78" s="10"/>
      <c r="F78" s="28"/>
      <c r="G78" s="12"/>
      <c r="H78" s="12"/>
      <c r="I78" s="16"/>
      <c r="J78" s="5"/>
    </row>
    <row r="79" spans="1:10" s="6" customFormat="1">
      <c r="A79" s="10"/>
      <c r="B79" s="10"/>
      <c r="C79" s="11"/>
      <c r="D79" s="25"/>
      <c r="E79" s="10"/>
      <c r="F79" s="28"/>
      <c r="G79" s="12"/>
      <c r="H79" s="12"/>
      <c r="I79" s="16"/>
      <c r="J79" s="5"/>
    </row>
    <row r="80" spans="1:10" s="6" customFormat="1">
      <c r="A80" s="10"/>
      <c r="B80" s="10"/>
      <c r="C80" s="11"/>
      <c r="D80" s="25"/>
      <c r="E80" s="10"/>
      <c r="F80" s="28"/>
      <c r="G80" s="12"/>
      <c r="H80" s="12"/>
      <c r="I80" s="16"/>
      <c r="J80" s="5"/>
    </row>
    <row r="81" spans="1:10" s="6" customFormat="1">
      <c r="A81" s="10"/>
      <c r="B81" s="10"/>
      <c r="C81" s="11"/>
      <c r="D81" s="25"/>
      <c r="E81" s="10"/>
      <c r="F81" s="28"/>
      <c r="G81" s="12"/>
      <c r="H81" s="12"/>
      <c r="I81" s="16"/>
      <c r="J81" s="5"/>
    </row>
    <row r="82" spans="1:10" s="6" customFormat="1">
      <c r="A82" s="10"/>
      <c r="B82" s="10"/>
      <c r="C82" s="11"/>
      <c r="D82" s="25"/>
      <c r="E82" s="10"/>
      <c r="F82" s="28"/>
      <c r="G82" s="12"/>
      <c r="H82" s="12"/>
      <c r="I82" s="16"/>
      <c r="J82" s="5"/>
    </row>
    <row r="83" spans="1:10" s="6" customFormat="1">
      <c r="A83" s="10"/>
      <c r="B83" s="10"/>
      <c r="C83" s="11"/>
      <c r="D83" s="25"/>
      <c r="E83" s="10"/>
      <c r="F83" s="28"/>
      <c r="G83" s="12"/>
      <c r="H83" s="12"/>
      <c r="I83" s="16"/>
      <c r="J83" s="5"/>
    </row>
    <row r="84" spans="1:10" s="6" customFormat="1">
      <c r="A84" s="10"/>
      <c r="B84" s="10"/>
      <c r="C84" s="11"/>
      <c r="D84" s="25"/>
      <c r="E84" s="10"/>
      <c r="F84" s="28"/>
      <c r="G84" s="12"/>
      <c r="H84" s="12"/>
      <c r="I84" s="16"/>
      <c r="J84" s="5"/>
    </row>
    <row r="85" spans="1:10" s="6" customFormat="1">
      <c r="A85" s="10"/>
      <c r="B85" s="10"/>
      <c r="C85" s="11"/>
      <c r="D85" s="25"/>
      <c r="E85" s="10"/>
      <c r="F85" s="28"/>
      <c r="G85" s="12"/>
      <c r="H85" s="12"/>
      <c r="I85" s="16"/>
      <c r="J85" s="5"/>
    </row>
    <row r="86" spans="1:10" s="6" customFormat="1">
      <c r="A86" s="10"/>
      <c r="B86" s="10"/>
      <c r="C86" s="11"/>
      <c r="D86" s="25"/>
      <c r="E86" s="10"/>
      <c r="F86" s="28"/>
      <c r="G86" s="12"/>
      <c r="H86" s="12"/>
      <c r="I86" s="16"/>
      <c r="J86" s="5"/>
    </row>
    <row r="87" spans="1:10" s="6" customFormat="1">
      <c r="A87" s="10"/>
      <c r="B87" s="10"/>
      <c r="C87" s="11"/>
      <c r="D87" s="25"/>
      <c r="E87" s="10"/>
      <c r="F87" s="28"/>
      <c r="G87" s="12"/>
      <c r="H87" s="12"/>
      <c r="I87" s="16"/>
      <c r="J87" s="5"/>
    </row>
    <row r="88" spans="1:10" s="6" customFormat="1">
      <c r="A88" s="10"/>
      <c r="B88" s="10"/>
      <c r="C88" s="11"/>
      <c r="D88" s="25"/>
      <c r="E88" s="10"/>
      <c r="F88" s="28"/>
      <c r="G88" s="12"/>
      <c r="H88" s="12"/>
      <c r="I88" s="16"/>
      <c r="J88" s="5"/>
    </row>
    <row r="89" spans="1:10" s="6" customFormat="1">
      <c r="A89" s="10"/>
      <c r="B89" s="10"/>
      <c r="C89" s="11"/>
      <c r="D89" s="25"/>
      <c r="E89" s="10"/>
      <c r="F89" s="28"/>
      <c r="G89" s="12"/>
      <c r="H89" s="12"/>
      <c r="I89" s="16"/>
      <c r="J89" s="5"/>
    </row>
    <row r="90" spans="1:10" s="6" customFormat="1">
      <c r="A90" s="10"/>
      <c r="B90" s="10"/>
      <c r="C90" s="11"/>
      <c r="D90" s="25"/>
      <c r="E90" s="10"/>
      <c r="F90" s="28"/>
      <c r="G90" s="12"/>
      <c r="H90" s="12"/>
      <c r="I90" s="16"/>
      <c r="J90" s="5"/>
    </row>
    <row r="91" spans="1:10" s="6" customFormat="1">
      <c r="A91" s="10"/>
      <c r="B91" s="10"/>
      <c r="C91" s="11"/>
      <c r="D91" s="25"/>
      <c r="E91" s="10"/>
      <c r="F91" s="28"/>
      <c r="G91" s="12"/>
      <c r="H91" s="12"/>
      <c r="I91" s="16"/>
      <c r="J91" s="5"/>
    </row>
    <row r="92" spans="1:10" s="6" customFormat="1">
      <c r="A92" s="10"/>
      <c r="B92" s="10"/>
      <c r="C92" s="11"/>
      <c r="D92" s="25"/>
      <c r="E92" s="10"/>
      <c r="F92" s="28"/>
      <c r="G92" s="12"/>
      <c r="H92" s="12"/>
      <c r="I92" s="16"/>
      <c r="J92" s="5"/>
    </row>
    <row r="93" spans="1:10" s="6" customFormat="1">
      <c r="A93" s="10"/>
      <c r="B93" s="10"/>
      <c r="C93" s="11"/>
      <c r="D93" s="25"/>
      <c r="E93" s="10"/>
      <c r="F93" s="28"/>
      <c r="G93" s="12"/>
      <c r="H93" s="12"/>
      <c r="I93" s="16"/>
      <c r="J93" s="5"/>
    </row>
    <row r="94" spans="1:10" s="6" customFormat="1">
      <c r="A94" s="10"/>
      <c r="B94" s="10"/>
      <c r="C94" s="11"/>
      <c r="D94" s="25"/>
      <c r="E94" s="10"/>
      <c r="F94" s="28"/>
      <c r="G94" s="12"/>
      <c r="H94" s="12"/>
      <c r="I94" s="16"/>
      <c r="J94" s="5"/>
    </row>
    <row r="95" spans="1:10" s="6" customFormat="1">
      <c r="A95" s="10"/>
      <c r="B95" s="10"/>
      <c r="C95" s="11"/>
      <c r="D95" s="25"/>
      <c r="E95" s="10"/>
      <c r="F95" s="28"/>
      <c r="G95" s="12"/>
      <c r="H95" s="12"/>
      <c r="I95" s="16"/>
      <c r="J95" s="5"/>
    </row>
    <row r="96" spans="1:10" s="6" customFormat="1">
      <c r="A96" s="10"/>
      <c r="B96" s="10"/>
      <c r="C96" s="11"/>
      <c r="D96" s="25"/>
      <c r="E96" s="10"/>
      <c r="F96" s="28"/>
      <c r="G96" s="12"/>
      <c r="H96" s="12"/>
      <c r="I96" s="16"/>
      <c r="J96" s="5"/>
    </row>
    <row r="97" spans="1:10" s="6" customFormat="1">
      <c r="A97" s="10"/>
      <c r="B97" s="10"/>
      <c r="C97" s="11"/>
      <c r="D97" s="25"/>
      <c r="E97" s="10"/>
      <c r="F97" s="28"/>
      <c r="G97" s="12"/>
      <c r="H97" s="12"/>
      <c r="I97" s="16"/>
      <c r="J97" s="5"/>
    </row>
    <row r="98" spans="1:10" s="6" customFormat="1">
      <c r="A98" s="10"/>
      <c r="B98" s="10"/>
      <c r="C98" s="11"/>
      <c r="D98" s="25"/>
      <c r="E98" s="10"/>
      <c r="F98" s="28"/>
      <c r="G98" s="12"/>
      <c r="H98" s="12"/>
      <c r="I98" s="16"/>
      <c r="J98" s="5"/>
    </row>
    <row r="99" spans="1:10" s="6" customFormat="1">
      <c r="A99" s="10"/>
      <c r="B99" s="10"/>
      <c r="C99" s="11"/>
      <c r="D99" s="25"/>
      <c r="E99" s="10"/>
      <c r="F99" s="28"/>
      <c r="G99" s="12"/>
      <c r="H99" s="12"/>
      <c r="I99" s="16"/>
      <c r="J99" s="5"/>
    </row>
    <row r="100" spans="1:10" s="6" customFormat="1">
      <c r="A100" s="10"/>
      <c r="B100" s="10"/>
      <c r="C100" s="11"/>
      <c r="D100" s="25"/>
      <c r="E100" s="10"/>
      <c r="F100" s="28"/>
      <c r="G100" s="12"/>
      <c r="H100" s="12"/>
      <c r="I100" s="16"/>
      <c r="J100" s="5"/>
    </row>
  </sheetData>
  <sheetProtection sheet="1" objects="1" scenarios="1"/>
  <sortState ref="C22:C28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104775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4"/>
  <sheetViews>
    <sheetView workbookViewId="0">
      <pane ySplit="1" topLeftCell="A33" activePane="bottomLeft" state="frozen"/>
      <selection pane="bottomLeft" activeCell="B43" sqref="B43"/>
    </sheetView>
  </sheetViews>
  <sheetFormatPr defaultRowHeight="15"/>
  <cols>
    <col min="1" max="1" width="38.42578125" style="3" customWidth="1"/>
    <col min="2" max="2" width="12" style="56" bestFit="1" customWidth="1"/>
  </cols>
  <sheetData>
    <row r="1" spans="1:2" s="1" customFormat="1">
      <c r="A1" s="2" t="s">
        <v>0</v>
      </c>
      <c r="B1" s="49" t="s">
        <v>1</v>
      </c>
    </row>
    <row r="2" spans="1:2" s="1" customFormat="1">
      <c r="A2" s="47">
        <v>44110</v>
      </c>
      <c r="B2" s="48">
        <f>2/3</f>
        <v>0.66666666666666663</v>
      </c>
    </row>
    <row r="3" spans="1:2" s="1" customFormat="1">
      <c r="A3" s="47">
        <v>44124</v>
      </c>
      <c r="B3" s="48">
        <v>2</v>
      </c>
    </row>
    <row r="4" spans="1:2" s="1" customFormat="1">
      <c r="A4" s="47">
        <v>44138</v>
      </c>
      <c r="B4" s="48">
        <f>2/3</f>
        <v>0.66666666666666663</v>
      </c>
    </row>
    <row r="5" spans="1:2" s="1" customFormat="1">
      <c r="A5" s="47">
        <v>44180</v>
      </c>
      <c r="B5" s="48">
        <f>2/3</f>
        <v>0.66666666666666663</v>
      </c>
    </row>
    <row r="6" spans="1:2" s="1" customFormat="1">
      <c r="A6" s="47">
        <v>44208</v>
      </c>
      <c r="B6" s="48">
        <f>2/3</f>
        <v>0.66666666666666663</v>
      </c>
    </row>
    <row r="7" spans="1:2" s="1" customFormat="1">
      <c r="A7" s="47">
        <v>44222</v>
      </c>
      <c r="B7" s="48">
        <f>2/3</f>
        <v>0.66666666666666663</v>
      </c>
    </row>
    <row r="8" spans="1:2" s="1" customFormat="1">
      <c r="A8" s="47">
        <v>44236</v>
      </c>
      <c r="B8" s="48">
        <v>4</v>
      </c>
    </row>
    <row r="9" spans="1:2" s="1" customFormat="1">
      <c r="A9" s="47">
        <v>44250</v>
      </c>
      <c r="B9" s="56">
        <v>68</v>
      </c>
    </row>
    <row r="10" spans="1:2" s="1" customFormat="1">
      <c r="A10" s="47">
        <v>44264</v>
      </c>
      <c r="B10" s="48">
        <v>8</v>
      </c>
    </row>
    <row r="11" spans="1:2" s="1" customFormat="1">
      <c r="A11" s="47">
        <v>44293</v>
      </c>
      <c r="B11" s="48">
        <v>2</v>
      </c>
    </row>
    <row r="12" spans="1:2" s="1" customFormat="1">
      <c r="A12" s="47">
        <v>44369</v>
      </c>
      <c r="B12" s="48">
        <v>30</v>
      </c>
    </row>
    <row r="13" spans="1:2" s="1" customFormat="1">
      <c r="A13" s="47">
        <v>44386</v>
      </c>
      <c r="B13" s="48">
        <v>28</v>
      </c>
    </row>
    <row r="14" spans="1:2" s="1" customFormat="1">
      <c r="A14" s="47">
        <v>44404</v>
      </c>
      <c r="B14" s="48">
        <v>68</v>
      </c>
    </row>
    <row r="15" spans="1:2" s="1" customFormat="1">
      <c r="A15" s="47">
        <v>44474</v>
      </c>
      <c r="B15" s="48">
        <f>2/3</f>
        <v>0.66666666666666663</v>
      </c>
    </row>
    <row r="16" spans="1:2" s="1" customFormat="1">
      <c r="A16" s="47">
        <v>44516</v>
      </c>
      <c r="B16" s="48">
        <v>1</v>
      </c>
    </row>
    <row r="17" spans="1:2" s="1" customFormat="1">
      <c r="A17" s="47">
        <v>44572</v>
      </c>
      <c r="B17" s="48">
        <v>540</v>
      </c>
    </row>
    <row r="18" spans="1:2" s="1" customFormat="1">
      <c r="A18" s="47">
        <v>44586</v>
      </c>
      <c r="B18" s="48">
        <v>390</v>
      </c>
    </row>
    <row r="19" spans="1:2" s="1" customFormat="1">
      <c r="A19" s="47">
        <v>44600</v>
      </c>
      <c r="B19" s="48">
        <v>10</v>
      </c>
    </row>
    <row r="20" spans="1:2" s="1" customFormat="1">
      <c r="A20" s="47">
        <v>44628</v>
      </c>
      <c r="B20" s="48">
        <v>63</v>
      </c>
    </row>
    <row r="21" spans="1:2" s="1" customFormat="1">
      <c r="A21" s="47">
        <v>44663</v>
      </c>
      <c r="B21" s="48">
        <f>10/3</f>
        <v>3.3333333333333335</v>
      </c>
    </row>
    <row r="22" spans="1:2" s="1" customFormat="1">
      <c r="A22" s="47">
        <v>44712</v>
      </c>
      <c r="B22" s="48">
        <v>10</v>
      </c>
    </row>
    <row r="23" spans="1:2" s="1" customFormat="1">
      <c r="A23" s="47">
        <v>44726</v>
      </c>
      <c r="B23" s="48">
        <v>98</v>
      </c>
    </row>
    <row r="24" spans="1:2" s="1" customFormat="1">
      <c r="A24" s="47">
        <v>44740</v>
      </c>
      <c r="B24" s="48">
        <v>211</v>
      </c>
    </row>
    <row r="25" spans="1:2" s="1" customFormat="1">
      <c r="A25" s="47">
        <v>44768</v>
      </c>
      <c r="B25" s="48">
        <v>30</v>
      </c>
    </row>
    <row r="26" spans="1:2">
      <c r="A26" s="47">
        <v>44796</v>
      </c>
      <c r="B26" s="48">
        <v>20</v>
      </c>
    </row>
    <row r="27" spans="1:2">
      <c r="A27" s="47">
        <v>44810</v>
      </c>
      <c r="B27" s="48">
        <f>1/3</f>
        <v>0.33333333333333331</v>
      </c>
    </row>
    <row r="28" spans="1:2">
      <c r="A28" s="47">
        <v>44824</v>
      </c>
      <c r="B28" s="48">
        <v>10</v>
      </c>
    </row>
    <row r="29" spans="1:2">
      <c r="A29" s="47">
        <v>45104</v>
      </c>
      <c r="B29" s="55">
        <v>5</v>
      </c>
    </row>
    <row r="30" spans="1:2">
      <c r="A30" s="47">
        <v>45118</v>
      </c>
      <c r="B30" s="55">
        <v>4</v>
      </c>
    </row>
    <row r="31" spans="1:2">
      <c r="A31" s="47">
        <v>45132</v>
      </c>
      <c r="B31" s="55">
        <v>1</v>
      </c>
    </row>
    <row r="32" spans="1:2">
      <c r="A32" s="47">
        <v>45153</v>
      </c>
      <c r="B32" s="55">
        <v>3</v>
      </c>
    </row>
    <row r="33" spans="1:2">
      <c r="A33" s="47">
        <v>45167</v>
      </c>
      <c r="B33" s="55">
        <v>25</v>
      </c>
    </row>
    <row r="34" spans="1:2">
      <c r="A34" s="47">
        <v>45181</v>
      </c>
      <c r="B34" s="55">
        <f>1/3</f>
        <v>0.33333333333333331</v>
      </c>
    </row>
    <row r="35" spans="1:2">
      <c r="A35" s="47">
        <v>45195</v>
      </c>
      <c r="B35" s="55">
        <v>2</v>
      </c>
    </row>
    <row r="36" spans="1:2">
      <c r="A36" s="47">
        <v>45210</v>
      </c>
      <c r="B36" s="55">
        <v>11</v>
      </c>
    </row>
    <row r="37" spans="1:2">
      <c r="A37" s="47">
        <v>45224</v>
      </c>
      <c r="B37" s="55">
        <v>29</v>
      </c>
    </row>
    <row r="38" spans="1:2">
      <c r="A38" s="47">
        <v>45240</v>
      </c>
      <c r="B38" s="55">
        <v>31</v>
      </c>
    </row>
    <row r="39" spans="1:2">
      <c r="A39" s="47">
        <v>45254</v>
      </c>
      <c r="B39" s="55">
        <v>124</v>
      </c>
    </row>
    <row r="40" spans="1:2">
      <c r="A40" s="47">
        <v>45308</v>
      </c>
      <c r="B40" s="55">
        <v>10</v>
      </c>
    </row>
    <row r="41" spans="1:2">
      <c r="A41" s="47">
        <v>45322</v>
      </c>
      <c r="B41" s="55">
        <f>10/3</f>
        <v>3.3333333333333335</v>
      </c>
    </row>
    <row r="42" spans="1:2">
      <c r="A42" s="47">
        <v>45658</v>
      </c>
      <c r="B42" s="55">
        <v>1</v>
      </c>
    </row>
    <row r="43" spans="1:2">
      <c r="A43" s="4"/>
      <c r="B43" s="55"/>
    </row>
    <row r="44" spans="1:2">
      <c r="A44" s="4"/>
      <c r="B44" s="55"/>
    </row>
    <row r="45" spans="1:2">
      <c r="A45" s="4"/>
      <c r="B45" s="55"/>
    </row>
    <row r="46" spans="1:2">
      <c r="A46" s="4"/>
      <c r="B46" s="55"/>
    </row>
    <row r="47" spans="1:2">
      <c r="A47" s="4"/>
      <c r="B47" s="55"/>
    </row>
    <row r="48" spans="1:2">
      <c r="A48" s="4"/>
      <c r="B48" s="55"/>
    </row>
    <row r="49" spans="1:2">
      <c r="A49" s="4"/>
      <c r="B49" s="55"/>
    </row>
    <row r="50" spans="1:2">
      <c r="A50" s="4"/>
      <c r="B50" s="55"/>
    </row>
    <row r="51" spans="1:2">
      <c r="A51" s="4"/>
      <c r="B51" s="55"/>
    </row>
    <row r="52" spans="1:2">
      <c r="A52" s="4"/>
      <c r="B52" s="55"/>
    </row>
    <row r="53" spans="1:2">
      <c r="A53" s="4"/>
      <c r="B53" s="55"/>
    </row>
    <row r="54" spans="1:2">
      <c r="A54" s="4"/>
      <c r="B54" s="55"/>
    </row>
    <row r="55" spans="1:2">
      <c r="A55" s="4"/>
      <c r="B55" s="55"/>
    </row>
    <row r="56" spans="1:2">
      <c r="A56" s="4"/>
      <c r="B56" s="55"/>
    </row>
    <row r="57" spans="1:2">
      <c r="A57" s="4"/>
      <c r="B57" s="55"/>
    </row>
    <row r="58" spans="1:2">
      <c r="A58" s="4"/>
      <c r="B58" s="55"/>
    </row>
    <row r="59" spans="1:2">
      <c r="A59" s="4"/>
      <c r="B59" s="55"/>
    </row>
    <row r="60" spans="1:2">
      <c r="A60" s="4"/>
      <c r="B60" s="55"/>
    </row>
    <row r="61" spans="1:2">
      <c r="A61" s="4"/>
      <c r="B61" s="55"/>
    </row>
    <row r="62" spans="1:2">
      <c r="A62" s="4"/>
      <c r="B62" s="55"/>
    </row>
    <row r="63" spans="1:2">
      <c r="A63" s="4"/>
      <c r="B63" s="55"/>
    </row>
    <row r="64" spans="1:2">
      <c r="A64" s="4"/>
      <c r="B64" s="55"/>
    </row>
    <row r="65" spans="1:2">
      <c r="A65" s="4"/>
      <c r="B65" s="55"/>
    </row>
    <row r="66" spans="1:2">
      <c r="A66" s="4"/>
      <c r="B66" s="55"/>
    </row>
    <row r="67" spans="1:2">
      <c r="A67" s="4"/>
      <c r="B67" s="55"/>
    </row>
    <row r="68" spans="1:2">
      <c r="A68" s="4"/>
      <c r="B68" s="55"/>
    </row>
    <row r="69" spans="1:2">
      <c r="A69" s="4"/>
      <c r="B69" s="55"/>
    </row>
    <row r="70" spans="1:2">
      <c r="A70" s="4"/>
      <c r="B70" s="55"/>
    </row>
    <row r="71" spans="1:2">
      <c r="A71" s="4"/>
      <c r="B71" s="55"/>
    </row>
    <row r="72" spans="1:2">
      <c r="A72" s="4"/>
      <c r="B72" s="55"/>
    </row>
    <row r="73" spans="1:2">
      <c r="A73" s="4"/>
      <c r="B73" s="55"/>
    </row>
    <row r="74" spans="1:2">
      <c r="A74" s="4"/>
      <c r="B74" s="55"/>
    </row>
    <row r="75" spans="1:2">
      <c r="A75" s="4"/>
      <c r="B75" s="55"/>
    </row>
    <row r="76" spans="1:2">
      <c r="A76" s="4"/>
      <c r="B76" s="55"/>
    </row>
    <row r="77" spans="1:2">
      <c r="A77" s="4"/>
      <c r="B77" s="55"/>
    </row>
    <row r="78" spans="1:2">
      <c r="A78" s="4"/>
      <c r="B78" s="55"/>
    </row>
    <row r="79" spans="1:2">
      <c r="A79" s="4"/>
      <c r="B79" s="55"/>
    </row>
    <row r="80" spans="1:2">
      <c r="A80" s="4"/>
      <c r="B80" s="55"/>
    </row>
    <row r="81" spans="1:2">
      <c r="A81" s="4"/>
      <c r="B81" s="55"/>
    </row>
    <row r="82" spans="1:2">
      <c r="A82" s="4"/>
      <c r="B82" s="55"/>
    </row>
    <row r="83" spans="1:2">
      <c r="A83" s="4"/>
      <c r="B83" s="55"/>
    </row>
    <row r="84" spans="1:2">
      <c r="A84" s="4"/>
      <c r="B84" s="55"/>
    </row>
    <row r="85" spans="1:2">
      <c r="A85" s="4"/>
      <c r="B85" s="55"/>
    </row>
    <row r="86" spans="1:2">
      <c r="A86" s="4"/>
      <c r="B86" s="55"/>
    </row>
    <row r="87" spans="1:2">
      <c r="A87" s="4"/>
      <c r="B87" s="55"/>
    </row>
    <row r="88" spans="1:2">
      <c r="A88" s="4"/>
      <c r="B88" s="55"/>
    </row>
    <row r="89" spans="1:2">
      <c r="A89" s="4"/>
      <c r="B89" s="55"/>
    </row>
    <row r="90" spans="1:2">
      <c r="A90" s="4"/>
      <c r="B90" s="55"/>
    </row>
    <row r="91" spans="1:2">
      <c r="A91" s="4"/>
      <c r="B91" s="55"/>
    </row>
    <row r="92" spans="1:2">
      <c r="A92" s="4"/>
      <c r="B92" s="55"/>
    </row>
    <row r="93" spans="1:2">
      <c r="A93" s="4"/>
      <c r="B93" s="55"/>
    </row>
    <row r="94" spans="1:2">
      <c r="A94" s="4"/>
      <c r="B94" s="55"/>
    </row>
    <row r="95" spans="1:2">
      <c r="A95" s="4"/>
      <c r="B95" s="55"/>
    </row>
    <row r="96" spans="1:2">
      <c r="A96" s="4"/>
      <c r="B96" s="55"/>
    </row>
    <row r="97" spans="1:2">
      <c r="A97" s="4"/>
      <c r="B97" s="55"/>
    </row>
    <row r="98" spans="1:2">
      <c r="A98" s="4"/>
      <c r="B98" s="55"/>
    </row>
    <row r="99" spans="1:2">
      <c r="A99" s="4"/>
      <c r="B99" s="55"/>
    </row>
    <row r="100" spans="1:2">
      <c r="A100" s="4"/>
      <c r="B100" s="55"/>
    </row>
    <row r="101" spans="1:2">
      <c r="A101" s="4"/>
      <c r="B101" s="55"/>
    </row>
    <row r="102" spans="1:2">
      <c r="A102" s="4"/>
      <c r="B102" s="55"/>
    </row>
    <row r="103" spans="1:2">
      <c r="A103" s="4"/>
      <c r="B103" s="55"/>
    </row>
    <row r="104" spans="1:2">
      <c r="A104" s="4"/>
      <c r="B104" s="55"/>
    </row>
    <row r="105" spans="1:2">
      <c r="A105" s="4"/>
      <c r="B105" s="55"/>
    </row>
    <row r="106" spans="1:2">
      <c r="A106" s="4"/>
      <c r="B106" s="55"/>
    </row>
    <row r="107" spans="1:2">
      <c r="A107" s="4"/>
      <c r="B107" s="55"/>
    </row>
    <row r="108" spans="1:2">
      <c r="A108" s="4"/>
      <c r="B108" s="55"/>
    </row>
    <row r="109" spans="1:2">
      <c r="A109" s="4"/>
      <c r="B109" s="55"/>
    </row>
    <row r="110" spans="1:2">
      <c r="A110" s="4"/>
      <c r="B110" s="55"/>
    </row>
    <row r="111" spans="1:2">
      <c r="A111" s="4"/>
      <c r="B111" s="55"/>
    </row>
    <row r="112" spans="1:2">
      <c r="A112" s="4"/>
      <c r="B112" s="55"/>
    </row>
    <row r="113" spans="1:2">
      <c r="A113" s="4"/>
      <c r="B113" s="55"/>
    </row>
    <row r="114" spans="1:2">
      <c r="A114" s="4"/>
      <c r="B114" s="55"/>
    </row>
    <row r="115" spans="1:2">
      <c r="A115" s="4"/>
      <c r="B115" s="55"/>
    </row>
    <row r="116" spans="1:2">
      <c r="A116" s="4"/>
      <c r="B116" s="55"/>
    </row>
    <row r="117" spans="1:2">
      <c r="A117" s="4"/>
      <c r="B117" s="55"/>
    </row>
    <row r="118" spans="1:2">
      <c r="A118" s="4"/>
      <c r="B118" s="55"/>
    </row>
    <row r="119" spans="1:2">
      <c r="A119" s="4"/>
      <c r="B119" s="55"/>
    </row>
    <row r="120" spans="1:2">
      <c r="A120" s="4"/>
      <c r="B120" s="55"/>
    </row>
    <row r="121" spans="1:2">
      <c r="A121" s="4"/>
      <c r="B121" s="55"/>
    </row>
    <row r="122" spans="1:2">
      <c r="A122" s="4"/>
      <c r="B122" s="55"/>
    </row>
    <row r="123" spans="1:2">
      <c r="A123" s="4"/>
      <c r="B123" s="55"/>
    </row>
    <row r="124" spans="1:2">
      <c r="A124" s="4"/>
      <c r="B124" s="55"/>
    </row>
    <row r="125" spans="1:2">
      <c r="A125" s="4"/>
      <c r="B125" s="55"/>
    </row>
    <row r="126" spans="1:2">
      <c r="A126" s="4"/>
      <c r="B126" s="55"/>
    </row>
    <row r="127" spans="1:2">
      <c r="A127" s="4"/>
      <c r="B127" s="55"/>
    </row>
    <row r="128" spans="1:2">
      <c r="A128" s="4"/>
      <c r="B128" s="55"/>
    </row>
    <row r="129" spans="1:2">
      <c r="A129" s="4"/>
      <c r="B129" s="55"/>
    </row>
    <row r="130" spans="1:2">
      <c r="A130" s="4"/>
      <c r="B130" s="55"/>
    </row>
    <row r="131" spans="1:2">
      <c r="A131" s="4"/>
      <c r="B131" s="55"/>
    </row>
    <row r="132" spans="1:2">
      <c r="A132" s="4"/>
      <c r="B132" s="55"/>
    </row>
    <row r="133" spans="1:2">
      <c r="A133" s="4"/>
      <c r="B133" s="55"/>
    </row>
    <row r="134" spans="1:2">
      <c r="A134" s="4"/>
      <c r="B134" s="55"/>
    </row>
    <row r="135" spans="1:2">
      <c r="A135" s="4"/>
      <c r="B135" s="55"/>
    </row>
    <row r="136" spans="1:2">
      <c r="A136" s="4"/>
      <c r="B136" s="55"/>
    </row>
    <row r="137" spans="1:2">
      <c r="A137" s="4"/>
      <c r="B137" s="55"/>
    </row>
    <row r="138" spans="1:2">
      <c r="A138" s="4"/>
      <c r="B138" s="55"/>
    </row>
    <row r="139" spans="1:2">
      <c r="A139" s="4"/>
      <c r="B139" s="55"/>
    </row>
    <row r="140" spans="1:2">
      <c r="A140" s="4"/>
      <c r="B140" s="55"/>
    </row>
    <row r="141" spans="1:2">
      <c r="A141" s="4"/>
      <c r="B141" s="55"/>
    </row>
    <row r="142" spans="1:2">
      <c r="A142" s="4"/>
      <c r="B142" s="55"/>
    </row>
    <row r="143" spans="1:2">
      <c r="A143" s="4"/>
      <c r="B143" s="55"/>
    </row>
    <row r="144" spans="1:2">
      <c r="A144" s="4"/>
      <c r="B144" s="55"/>
    </row>
    <row r="145" spans="1:2">
      <c r="A145" s="4"/>
      <c r="B145" s="55"/>
    </row>
    <row r="146" spans="1:2">
      <c r="A146" s="4"/>
      <c r="B146" s="55"/>
    </row>
    <row r="147" spans="1:2">
      <c r="A147" s="4"/>
      <c r="B147" s="55"/>
    </row>
    <row r="148" spans="1:2">
      <c r="A148" s="4"/>
      <c r="B148" s="55"/>
    </row>
    <row r="149" spans="1:2">
      <c r="A149" s="4"/>
      <c r="B149" s="55"/>
    </row>
    <row r="150" spans="1:2">
      <c r="A150" s="4"/>
      <c r="B150" s="55"/>
    </row>
    <row r="151" spans="1:2">
      <c r="A151" s="4"/>
      <c r="B151" s="55"/>
    </row>
    <row r="152" spans="1:2">
      <c r="A152" s="4"/>
      <c r="B152" s="55"/>
    </row>
    <row r="153" spans="1:2">
      <c r="A153" s="4"/>
      <c r="B153" s="55"/>
    </row>
    <row r="154" spans="1:2">
      <c r="A154" s="4"/>
      <c r="B154" s="55"/>
    </row>
    <row r="155" spans="1:2">
      <c r="A155" s="44"/>
      <c r="B155" s="57"/>
    </row>
    <row r="156" spans="1:2">
      <c r="A156" s="44"/>
      <c r="B156" s="57"/>
    </row>
    <row r="157" spans="1:2">
      <c r="A157" s="44"/>
      <c r="B157" s="57"/>
    </row>
    <row r="158" spans="1:2">
      <c r="A158" s="44"/>
      <c r="B158" s="57"/>
    </row>
    <row r="159" spans="1:2">
      <c r="A159" s="44"/>
      <c r="B159" s="57"/>
    </row>
    <row r="160" spans="1:2">
      <c r="A160" s="44"/>
      <c r="B160" s="57"/>
    </row>
    <row r="161" spans="1:2">
      <c r="A161" s="44"/>
      <c r="B161" s="57"/>
    </row>
    <row r="162" spans="1:2">
      <c r="A162" s="44"/>
      <c r="B162" s="57"/>
    </row>
    <row r="163" spans="1:2">
      <c r="A163" s="45"/>
      <c r="B163" s="57"/>
    </row>
    <row r="164" spans="1:2">
      <c r="A164" s="45"/>
      <c r="B164" s="57"/>
    </row>
    <row r="165" spans="1:2">
      <c r="A165" s="45"/>
      <c r="B165" s="57"/>
    </row>
    <row r="166" spans="1:2">
      <c r="A166" s="45"/>
      <c r="B166" s="48"/>
    </row>
    <row r="167" spans="1:2">
      <c r="A167" s="45"/>
      <c r="B167" s="57"/>
    </row>
    <row r="168" spans="1:2">
      <c r="A168" s="45"/>
      <c r="B168" s="57"/>
    </row>
    <row r="169" spans="1:2">
      <c r="A169" s="4"/>
      <c r="B169" s="55"/>
    </row>
    <row r="170" spans="1:2">
      <c r="A170" s="4"/>
      <c r="B170" s="55"/>
    </row>
    <row r="171" spans="1:2">
      <c r="A171" s="4"/>
      <c r="B171" s="55"/>
    </row>
    <row r="172" spans="1:2">
      <c r="A172" s="4"/>
      <c r="B172" s="55"/>
    </row>
    <row r="173" spans="1:2">
      <c r="A173" s="4"/>
      <c r="B173" s="55"/>
    </row>
    <row r="174" spans="1:2">
      <c r="A174" s="4"/>
      <c r="B174" s="55"/>
    </row>
    <row r="175" spans="1:2">
      <c r="A175" s="4"/>
      <c r="B175" s="55"/>
    </row>
    <row r="176" spans="1:2">
      <c r="A176" s="4"/>
      <c r="B176" s="55"/>
    </row>
    <row r="177" spans="1:2">
      <c r="A177" s="4"/>
      <c r="B177" s="55"/>
    </row>
    <row r="178" spans="1:2">
      <c r="A178" s="4"/>
      <c r="B178" s="55"/>
    </row>
    <row r="179" spans="1:2">
      <c r="A179" s="4"/>
      <c r="B179" s="55"/>
    </row>
    <row r="180" spans="1:2">
      <c r="A180" s="4"/>
      <c r="B180" s="55"/>
    </row>
    <row r="181" spans="1:2">
      <c r="A181" s="4"/>
      <c r="B181" s="55"/>
    </row>
    <row r="182" spans="1:2">
      <c r="A182" s="4"/>
      <c r="B182" s="55"/>
    </row>
    <row r="183" spans="1:2">
      <c r="A183" s="4"/>
      <c r="B183" s="55"/>
    </row>
    <row r="184" spans="1:2">
      <c r="A184" s="4"/>
      <c r="B184" s="55"/>
    </row>
    <row r="185" spans="1:2">
      <c r="A185" s="4"/>
      <c r="B185" s="55"/>
    </row>
    <row r="186" spans="1:2">
      <c r="A186" s="4"/>
      <c r="B186" s="55"/>
    </row>
    <row r="187" spans="1:2">
      <c r="A187" s="4"/>
      <c r="B187" s="55"/>
    </row>
    <row r="188" spans="1:2">
      <c r="A188" s="4"/>
      <c r="B188" s="55"/>
    </row>
    <row r="189" spans="1:2">
      <c r="A189" s="4"/>
      <c r="B189" s="55"/>
    </row>
    <row r="190" spans="1:2">
      <c r="A190" s="4"/>
      <c r="B190" s="55"/>
    </row>
    <row r="191" spans="1:2">
      <c r="A191" s="4"/>
      <c r="B191" s="55"/>
    </row>
    <row r="192" spans="1:2">
      <c r="A192" s="4"/>
      <c r="B192" s="55"/>
    </row>
    <row r="193" spans="1:2">
      <c r="A193" s="4"/>
      <c r="B193" s="55"/>
    </row>
    <row r="194" spans="1:2">
      <c r="A194" s="4"/>
      <c r="B194" s="55"/>
    </row>
    <row r="195" spans="1:2">
      <c r="A195" s="4"/>
      <c r="B195" s="55"/>
    </row>
    <row r="196" spans="1:2">
      <c r="A196" s="4"/>
      <c r="B196" s="55"/>
    </row>
    <row r="197" spans="1:2">
      <c r="A197" s="4"/>
      <c r="B197" s="55"/>
    </row>
    <row r="198" spans="1:2">
      <c r="A198" s="4"/>
      <c r="B198" s="55"/>
    </row>
    <row r="199" spans="1:2">
      <c r="A199" s="4"/>
      <c r="B199" s="55"/>
    </row>
    <row r="200" spans="1:2">
      <c r="A200" s="4"/>
      <c r="B200" s="55"/>
    </row>
    <row r="201" spans="1:2">
      <c r="A201" s="4"/>
      <c r="B201" s="55"/>
    </row>
    <row r="202" spans="1:2">
      <c r="A202" s="4"/>
      <c r="B202" s="55"/>
    </row>
    <row r="203" spans="1:2">
      <c r="A203" s="4"/>
      <c r="B203" s="55"/>
    </row>
    <row r="204" spans="1:2">
      <c r="A204" s="4"/>
      <c r="B204" s="55"/>
    </row>
    <row r="205" spans="1:2">
      <c r="A205" s="4"/>
      <c r="B205" s="55"/>
    </row>
    <row r="206" spans="1:2">
      <c r="A206" s="4"/>
      <c r="B206" s="55"/>
    </row>
    <row r="207" spans="1:2">
      <c r="A207" s="4"/>
      <c r="B207" s="55"/>
    </row>
    <row r="208" spans="1:2">
      <c r="A208" s="4"/>
      <c r="B208" s="55"/>
    </row>
    <row r="209" spans="1:2">
      <c r="A209" s="4"/>
      <c r="B209" s="55"/>
    </row>
    <row r="210" spans="1:2">
      <c r="A210" s="4"/>
      <c r="B210" s="55"/>
    </row>
    <row r="211" spans="1:2">
      <c r="A211" s="4"/>
      <c r="B211" s="55"/>
    </row>
    <row r="212" spans="1:2">
      <c r="A212" s="4"/>
      <c r="B212" s="55"/>
    </row>
    <row r="213" spans="1:2">
      <c r="A213" s="4"/>
      <c r="B213" s="55"/>
    </row>
    <row r="214" spans="1:2">
      <c r="A214" s="4"/>
      <c r="B214" s="55"/>
    </row>
    <row r="215" spans="1:2">
      <c r="A215" s="4"/>
      <c r="B215" s="55"/>
    </row>
    <row r="216" spans="1:2">
      <c r="A216" s="4"/>
      <c r="B216" s="55"/>
    </row>
    <row r="217" spans="1:2">
      <c r="A217" s="4"/>
      <c r="B217" s="55"/>
    </row>
    <row r="218" spans="1:2">
      <c r="A218" s="4"/>
      <c r="B218" s="55"/>
    </row>
    <row r="219" spans="1:2">
      <c r="A219" s="4"/>
      <c r="B219" s="55"/>
    </row>
    <row r="220" spans="1:2">
      <c r="A220" s="4"/>
      <c r="B220" s="55"/>
    </row>
    <row r="221" spans="1:2">
      <c r="A221" s="4"/>
      <c r="B221" s="55"/>
    </row>
    <row r="222" spans="1:2">
      <c r="A222" s="4"/>
      <c r="B222" s="55"/>
    </row>
    <row r="223" spans="1:2">
      <c r="A223" s="4"/>
      <c r="B223" s="55"/>
    </row>
    <row r="224" spans="1:2">
      <c r="A224" s="4"/>
      <c r="B224" s="55"/>
    </row>
    <row r="225" spans="1:2">
      <c r="A225" s="4"/>
      <c r="B225" s="55"/>
    </row>
    <row r="226" spans="1:2">
      <c r="A226" s="4"/>
      <c r="B226" s="55"/>
    </row>
    <row r="227" spans="1:2">
      <c r="A227" s="4"/>
      <c r="B227" s="55"/>
    </row>
    <row r="228" spans="1:2">
      <c r="A228" s="4"/>
      <c r="B228" s="55"/>
    </row>
    <row r="229" spans="1:2">
      <c r="A229" s="4"/>
      <c r="B229" s="55"/>
    </row>
    <row r="230" spans="1:2">
      <c r="A230" s="4"/>
      <c r="B230" s="55"/>
    </row>
    <row r="231" spans="1:2">
      <c r="A231" s="4"/>
      <c r="B231" s="55"/>
    </row>
    <row r="232" spans="1:2">
      <c r="A232" s="4"/>
      <c r="B232" s="55"/>
    </row>
    <row r="233" spans="1:2">
      <c r="A233" s="4"/>
      <c r="B233" s="55"/>
    </row>
    <row r="234" spans="1:2">
      <c r="A234" s="4"/>
      <c r="B234" s="55"/>
    </row>
    <row r="235" spans="1:2">
      <c r="A235" s="4"/>
      <c r="B235" s="55"/>
    </row>
    <row r="236" spans="1:2">
      <c r="A236" s="4"/>
      <c r="B236" s="55"/>
    </row>
    <row r="237" spans="1:2">
      <c r="A237" s="4"/>
      <c r="B237" s="55"/>
    </row>
    <row r="238" spans="1:2">
      <c r="A238" s="4"/>
      <c r="B238" s="55"/>
    </row>
    <row r="239" spans="1:2">
      <c r="A239" s="4"/>
      <c r="B239" s="55"/>
    </row>
    <row r="240" spans="1:2">
      <c r="A240" s="4"/>
      <c r="B240" s="55"/>
    </row>
    <row r="241" spans="1:2">
      <c r="A241" s="4"/>
      <c r="B241" s="55"/>
    </row>
    <row r="242" spans="1:2">
      <c r="A242" s="4"/>
      <c r="B242" s="55"/>
    </row>
    <row r="243" spans="1:2">
      <c r="A243" s="4"/>
      <c r="B243" s="55"/>
    </row>
    <row r="244" spans="1:2">
      <c r="A244" s="4"/>
      <c r="B244" s="55"/>
    </row>
    <row r="245" spans="1:2">
      <c r="A245" s="4"/>
      <c r="B245" s="55"/>
    </row>
    <row r="246" spans="1:2">
      <c r="A246" s="4"/>
      <c r="B246" s="55"/>
    </row>
    <row r="247" spans="1:2">
      <c r="A247" s="4"/>
      <c r="B247" s="55"/>
    </row>
    <row r="248" spans="1:2">
      <c r="A248" s="4"/>
      <c r="B248" s="55"/>
    </row>
    <row r="249" spans="1:2">
      <c r="A249" s="4"/>
      <c r="B249" s="55"/>
    </row>
    <row r="250" spans="1:2">
      <c r="A250" s="4"/>
      <c r="B250" s="55"/>
    </row>
    <row r="251" spans="1:2">
      <c r="A251" s="4"/>
      <c r="B251" s="55"/>
    </row>
    <row r="252" spans="1:2">
      <c r="A252" s="4"/>
      <c r="B252" s="55"/>
    </row>
    <row r="253" spans="1:2">
      <c r="A253" s="4"/>
      <c r="B253" s="55"/>
    </row>
    <row r="254" spans="1:2">
      <c r="A254" s="4"/>
      <c r="B254" s="55"/>
    </row>
    <row r="255" spans="1:2">
      <c r="A255" s="4"/>
      <c r="B255" s="55"/>
    </row>
    <row r="256" spans="1:2">
      <c r="A256" s="4"/>
      <c r="B256" s="55"/>
    </row>
    <row r="257" spans="1:2">
      <c r="A257" s="4"/>
      <c r="B257" s="55"/>
    </row>
    <row r="258" spans="1:2">
      <c r="A258" s="4"/>
      <c r="B258" s="55"/>
    </row>
    <row r="259" spans="1:2">
      <c r="A259" s="4"/>
      <c r="B259" s="55"/>
    </row>
    <row r="260" spans="1:2">
      <c r="A260" s="4"/>
      <c r="B260" s="55"/>
    </row>
    <row r="261" spans="1:2">
      <c r="A261" s="4"/>
      <c r="B261" s="55"/>
    </row>
    <row r="262" spans="1:2">
      <c r="A262" s="4"/>
      <c r="B262" s="55"/>
    </row>
    <row r="263" spans="1:2">
      <c r="A263" s="4"/>
      <c r="B263" s="55"/>
    </row>
    <row r="264" spans="1:2">
      <c r="A264" s="4"/>
      <c r="B264" s="55"/>
    </row>
  </sheetData>
  <sortState ref="A2:B4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9:B250 B2:B14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9"/>
  <sheetViews>
    <sheetView workbookViewId="0">
      <pane ySplit="1" topLeftCell="A67" activePane="bottomLeft" state="frozen"/>
      <selection pane="bottomLeft" activeCell="B76" sqref="B76"/>
    </sheetView>
  </sheetViews>
  <sheetFormatPr defaultRowHeight="15"/>
  <cols>
    <col min="1" max="1" width="32.42578125" style="59" bestFit="1" customWidth="1"/>
    <col min="2" max="2" width="12" style="54" bestFit="1" customWidth="1"/>
  </cols>
  <sheetData>
    <row r="1" spans="1:2" s="1" customFormat="1">
      <c r="A1" s="2" t="s">
        <v>0</v>
      </c>
      <c r="B1" s="50" t="s">
        <v>2</v>
      </c>
    </row>
    <row r="2" spans="1:2" s="1" customFormat="1">
      <c r="A2" s="47">
        <v>43922</v>
      </c>
      <c r="B2" s="51">
        <v>1</v>
      </c>
    </row>
    <row r="3" spans="1:2" s="1" customFormat="1">
      <c r="A3" s="47">
        <v>43923</v>
      </c>
      <c r="B3" s="51">
        <v>2</v>
      </c>
    </row>
    <row r="4" spans="1:2" s="1" customFormat="1">
      <c r="A4" s="47">
        <v>43924</v>
      </c>
      <c r="B4" s="51">
        <v>6</v>
      </c>
    </row>
    <row r="5" spans="1:2" s="1" customFormat="1">
      <c r="A5" s="47">
        <v>43925</v>
      </c>
      <c r="B5" s="51">
        <v>1</v>
      </c>
    </row>
    <row r="6" spans="1:2" s="1" customFormat="1">
      <c r="A6" s="47">
        <v>44110</v>
      </c>
      <c r="B6" s="51">
        <v>2</v>
      </c>
    </row>
    <row r="7" spans="1:2" s="1" customFormat="1">
      <c r="A7" s="47">
        <v>44111</v>
      </c>
      <c r="B7" s="51">
        <v>0.33300000000000002</v>
      </c>
    </row>
    <row r="8" spans="1:2" s="1" customFormat="1">
      <c r="A8" s="47">
        <v>44112</v>
      </c>
      <c r="B8" s="51">
        <v>1</v>
      </c>
    </row>
    <row r="9" spans="1:2" s="1" customFormat="1">
      <c r="A9" s="47">
        <v>44113</v>
      </c>
      <c r="B9" s="51">
        <v>3</v>
      </c>
    </row>
    <row r="10" spans="1:2" s="1" customFormat="1">
      <c r="A10" s="47">
        <v>44114</v>
      </c>
      <c r="B10" s="51">
        <v>3</v>
      </c>
    </row>
    <row r="11" spans="1:2" s="1" customFormat="1">
      <c r="A11" s="47">
        <v>44115</v>
      </c>
      <c r="B11" s="51">
        <v>0.33300000000000002</v>
      </c>
    </row>
    <row r="12" spans="1:2" s="1" customFormat="1">
      <c r="A12" s="47">
        <v>44116</v>
      </c>
      <c r="B12" s="51">
        <v>2</v>
      </c>
    </row>
    <row r="13" spans="1:2" s="1" customFormat="1">
      <c r="A13" s="47">
        <v>44124</v>
      </c>
      <c r="B13" s="51">
        <v>15</v>
      </c>
    </row>
    <row r="14" spans="1:2" s="1" customFormat="1">
      <c r="A14" s="47">
        <v>44138</v>
      </c>
      <c r="B14" s="51">
        <f>1/3</f>
        <v>0.33333333333333331</v>
      </c>
    </row>
    <row r="15" spans="1:2" s="1" customFormat="1">
      <c r="A15" s="47">
        <v>44180</v>
      </c>
      <c r="B15" s="51">
        <f>1/3</f>
        <v>0.33333333333333331</v>
      </c>
    </row>
    <row r="16" spans="1:2" s="1" customFormat="1">
      <c r="A16" s="47">
        <v>44208</v>
      </c>
      <c r="B16" s="51">
        <f>1/3</f>
        <v>0.33333333333333331</v>
      </c>
    </row>
    <row r="17" spans="1:2" s="1" customFormat="1">
      <c r="A17" s="47">
        <v>44222</v>
      </c>
      <c r="B17" s="51">
        <f>1/3</f>
        <v>0.33333333333333331</v>
      </c>
    </row>
    <row r="18" spans="1:2" s="1" customFormat="1">
      <c r="A18" s="47">
        <v>44236</v>
      </c>
      <c r="B18" s="51">
        <v>18</v>
      </c>
    </row>
    <row r="19" spans="1:2" s="1" customFormat="1">
      <c r="A19" s="47">
        <v>44250</v>
      </c>
      <c r="B19" s="52">
        <v>38</v>
      </c>
    </row>
    <row r="20" spans="1:2" s="1" customFormat="1">
      <c r="A20" s="47">
        <v>44251</v>
      </c>
      <c r="B20" s="52">
        <v>8</v>
      </c>
    </row>
    <row r="21" spans="1:2" s="1" customFormat="1">
      <c r="A21" s="47">
        <v>44252</v>
      </c>
      <c r="B21" s="52">
        <v>11</v>
      </c>
    </row>
    <row r="22" spans="1:2" s="1" customFormat="1">
      <c r="A22" s="47">
        <v>44253</v>
      </c>
      <c r="B22" s="52">
        <v>1</v>
      </c>
    </row>
    <row r="23" spans="1:2" s="1" customFormat="1">
      <c r="A23" s="47">
        <v>44254</v>
      </c>
      <c r="B23" s="52">
        <v>3</v>
      </c>
    </row>
    <row r="24" spans="1:2" s="1" customFormat="1">
      <c r="A24" s="47">
        <v>44255</v>
      </c>
      <c r="B24" s="52">
        <v>2</v>
      </c>
    </row>
    <row r="25" spans="1:2">
      <c r="A25" s="47">
        <v>44256</v>
      </c>
      <c r="B25" s="52">
        <v>10</v>
      </c>
    </row>
    <row r="26" spans="1:2">
      <c r="A26" s="47">
        <v>44264</v>
      </c>
      <c r="B26" s="51">
        <v>12</v>
      </c>
    </row>
    <row r="27" spans="1:2">
      <c r="A27" s="47">
        <v>44293</v>
      </c>
      <c r="B27" s="51">
        <v>2</v>
      </c>
    </row>
    <row r="28" spans="1:2">
      <c r="A28" s="47">
        <v>44386</v>
      </c>
      <c r="B28" s="51">
        <v>96</v>
      </c>
    </row>
    <row r="29" spans="1:2">
      <c r="A29" s="47">
        <v>44404</v>
      </c>
      <c r="B29" s="51">
        <v>6</v>
      </c>
    </row>
    <row r="30" spans="1:2">
      <c r="A30" s="47">
        <v>44474</v>
      </c>
      <c r="B30" s="51">
        <f>1/3</f>
        <v>0.33333333333333331</v>
      </c>
    </row>
    <row r="31" spans="1:2">
      <c r="A31" s="47">
        <v>44475</v>
      </c>
      <c r="B31" s="51">
        <v>1</v>
      </c>
    </row>
    <row r="32" spans="1:2">
      <c r="A32" s="47">
        <v>44476</v>
      </c>
      <c r="B32" s="51">
        <v>0.33300000000000002</v>
      </c>
    </row>
    <row r="33" spans="1:2">
      <c r="A33" s="47">
        <v>44477</v>
      </c>
      <c r="B33" s="51">
        <v>4</v>
      </c>
    </row>
    <row r="34" spans="1:2">
      <c r="A34" s="47">
        <v>44478</v>
      </c>
      <c r="B34" s="51">
        <v>2</v>
      </c>
    </row>
    <row r="35" spans="1:2">
      <c r="A35" s="47">
        <v>44479</v>
      </c>
      <c r="B35" s="51">
        <v>16</v>
      </c>
    </row>
    <row r="36" spans="1:2">
      <c r="A36" s="47">
        <v>44480</v>
      </c>
      <c r="B36" s="51">
        <v>3</v>
      </c>
    </row>
    <row r="37" spans="1:2">
      <c r="A37" s="47">
        <v>44516</v>
      </c>
      <c r="B37" s="51">
        <f>10/3</f>
        <v>3.3333333333333335</v>
      </c>
    </row>
    <row r="38" spans="1:2">
      <c r="A38" s="47">
        <v>44572</v>
      </c>
      <c r="B38" s="51">
        <v>40</v>
      </c>
    </row>
    <row r="39" spans="1:2">
      <c r="A39" s="47">
        <v>44586</v>
      </c>
      <c r="B39" s="51">
        <f>10/3</f>
        <v>3.3333333333333335</v>
      </c>
    </row>
    <row r="40" spans="1:2">
      <c r="A40" s="47">
        <v>44600</v>
      </c>
      <c r="B40" s="51">
        <f>10/3</f>
        <v>3.3333333333333335</v>
      </c>
    </row>
    <row r="41" spans="1:2">
      <c r="A41" s="47">
        <v>44908</v>
      </c>
      <c r="B41" s="51">
        <f>1/3</f>
        <v>0.33333333333333331</v>
      </c>
    </row>
    <row r="42" spans="1:2">
      <c r="A42" s="47">
        <v>44936</v>
      </c>
      <c r="B42" s="51">
        <v>45</v>
      </c>
    </row>
    <row r="43" spans="1:2">
      <c r="A43" s="47">
        <v>45020</v>
      </c>
      <c r="B43" s="51">
        <v>68</v>
      </c>
    </row>
    <row r="44" spans="1:2">
      <c r="A44" s="47">
        <v>45210</v>
      </c>
      <c r="B44" s="51">
        <f>1/3</f>
        <v>0.33333333333333331</v>
      </c>
    </row>
    <row r="45" spans="1:2">
      <c r="A45" s="47">
        <v>45238</v>
      </c>
      <c r="B45" s="51">
        <f>1/3</f>
        <v>0.33333333333333331</v>
      </c>
    </row>
    <row r="46" spans="1:2">
      <c r="A46" s="47">
        <v>45240</v>
      </c>
      <c r="B46" s="51">
        <f>1/3</f>
        <v>0.33333333333333331</v>
      </c>
    </row>
    <row r="47" spans="1:2">
      <c r="A47" s="47">
        <v>45266</v>
      </c>
      <c r="B47" s="51">
        <v>10</v>
      </c>
    </row>
    <row r="48" spans="1:2">
      <c r="A48" s="47">
        <v>45294</v>
      </c>
      <c r="B48" s="51">
        <f>1/3</f>
        <v>0.33333333333333331</v>
      </c>
    </row>
    <row r="49" spans="1:2">
      <c r="A49" s="47">
        <v>45420</v>
      </c>
      <c r="B49" s="51">
        <v>1</v>
      </c>
    </row>
    <row r="50" spans="1:2">
      <c r="A50" s="47">
        <v>45476</v>
      </c>
      <c r="B50" s="51">
        <v>28</v>
      </c>
    </row>
    <row r="51" spans="1:2">
      <c r="A51" s="47">
        <v>45478</v>
      </c>
      <c r="B51" s="51">
        <v>28</v>
      </c>
    </row>
    <row r="52" spans="1:2">
      <c r="A52" s="47">
        <v>45518</v>
      </c>
      <c r="B52" s="51">
        <v>575</v>
      </c>
    </row>
    <row r="53" spans="1:2">
      <c r="A53" s="47">
        <v>45546</v>
      </c>
      <c r="B53" s="51">
        <f>10/3</f>
        <v>3.3333333333333335</v>
      </c>
    </row>
    <row r="54" spans="1:2">
      <c r="A54" s="47">
        <v>45560</v>
      </c>
      <c r="B54" s="51">
        <f>10/3</f>
        <v>3.3333333333333335</v>
      </c>
    </row>
    <row r="55" spans="1:2">
      <c r="A55" s="47">
        <v>45574</v>
      </c>
      <c r="B55" s="51">
        <v>10</v>
      </c>
    </row>
    <row r="56" spans="1:2">
      <c r="A56" s="47">
        <v>45588</v>
      </c>
      <c r="B56" s="51">
        <f>10/3</f>
        <v>3.3333333333333335</v>
      </c>
    </row>
    <row r="57" spans="1:2">
      <c r="A57" s="47">
        <v>45602</v>
      </c>
      <c r="B57" s="51">
        <f>10/3</f>
        <v>3.3333333333333335</v>
      </c>
    </row>
    <row r="58" spans="1:2">
      <c r="A58" s="47">
        <v>45615</v>
      </c>
      <c r="B58" s="51">
        <v>0</v>
      </c>
    </row>
    <row r="59" spans="1:2">
      <c r="A59" s="47">
        <v>45622</v>
      </c>
      <c r="B59" s="51">
        <v>22</v>
      </c>
    </row>
    <row r="60" spans="1:2">
      <c r="A60" s="47">
        <v>45629</v>
      </c>
      <c r="B60" s="51">
        <v>4</v>
      </c>
    </row>
    <row r="61" spans="1:2">
      <c r="A61" s="47">
        <v>45636</v>
      </c>
      <c r="B61" s="51">
        <v>23</v>
      </c>
    </row>
    <row r="62" spans="1:2">
      <c r="A62" s="47">
        <v>45644</v>
      </c>
      <c r="B62" s="51">
        <v>0</v>
      </c>
    </row>
    <row r="63" spans="1:2">
      <c r="A63" s="47">
        <v>45649</v>
      </c>
      <c r="B63" s="51">
        <v>7</v>
      </c>
    </row>
    <row r="64" spans="1:2">
      <c r="A64" s="47">
        <v>45657</v>
      </c>
      <c r="B64" s="51">
        <v>33</v>
      </c>
    </row>
    <row r="65" spans="1:2">
      <c r="A65" s="47">
        <v>45664</v>
      </c>
      <c r="B65" s="51">
        <v>24</v>
      </c>
    </row>
    <row r="66" spans="1:2">
      <c r="A66" s="47">
        <v>45671</v>
      </c>
      <c r="B66" s="51">
        <v>19</v>
      </c>
    </row>
    <row r="67" spans="1:2">
      <c r="A67" s="47">
        <v>45678</v>
      </c>
      <c r="B67" s="51">
        <v>40</v>
      </c>
    </row>
    <row r="68" spans="1:2">
      <c r="A68" s="47">
        <v>45685</v>
      </c>
      <c r="B68" s="51">
        <v>19</v>
      </c>
    </row>
    <row r="69" spans="1:2">
      <c r="A69" s="47">
        <v>45692</v>
      </c>
      <c r="B69" s="51">
        <v>9</v>
      </c>
    </row>
    <row r="70" spans="1:2">
      <c r="A70" s="47">
        <v>45699</v>
      </c>
      <c r="B70" s="51">
        <v>2</v>
      </c>
    </row>
    <row r="71" spans="1:2">
      <c r="A71" s="47">
        <v>45706</v>
      </c>
      <c r="B71" s="51">
        <v>5</v>
      </c>
    </row>
    <row r="72" spans="1:2">
      <c r="A72" s="47">
        <v>45713</v>
      </c>
      <c r="B72" s="51">
        <v>7</v>
      </c>
    </row>
    <row r="73" spans="1:2">
      <c r="A73" s="47">
        <v>45720</v>
      </c>
      <c r="B73" s="51">
        <v>4</v>
      </c>
    </row>
    <row r="74" spans="1:2">
      <c r="A74" s="47">
        <v>45727</v>
      </c>
      <c r="B74" s="51">
        <v>3</v>
      </c>
    </row>
    <row r="75" spans="1:2">
      <c r="A75" s="47">
        <v>45734</v>
      </c>
      <c r="B75" s="51">
        <v>2</v>
      </c>
    </row>
    <row r="76" spans="1:2">
      <c r="A76" s="47"/>
      <c r="B76" s="51"/>
    </row>
    <row r="77" spans="1:2">
      <c r="A77" s="47"/>
      <c r="B77" s="51"/>
    </row>
    <row r="78" spans="1:2">
      <c r="A78" s="47"/>
      <c r="B78" s="51"/>
    </row>
    <row r="79" spans="1:2">
      <c r="A79" s="47"/>
      <c r="B79" s="51"/>
    </row>
    <row r="80" spans="1:2">
      <c r="A80" s="47"/>
      <c r="B80" s="51"/>
    </row>
    <row r="81" spans="1:2">
      <c r="A81" s="47"/>
      <c r="B81" s="51"/>
    </row>
    <row r="82" spans="1:2">
      <c r="A82" s="47"/>
      <c r="B82" s="51"/>
    </row>
    <row r="83" spans="1:2">
      <c r="A83" s="47"/>
      <c r="B83" s="51"/>
    </row>
    <row r="84" spans="1:2">
      <c r="A84" s="47"/>
      <c r="B84" s="51"/>
    </row>
    <row r="85" spans="1:2">
      <c r="A85" s="47"/>
      <c r="B85" s="51"/>
    </row>
    <row r="86" spans="1:2">
      <c r="A86" s="47"/>
      <c r="B86" s="51"/>
    </row>
    <row r="87" spans="1:2">
      <c r="A87" s="47"/>
      <c r="B87" s="51"/>
    </row>
    <row r="88" spans="1:2">
      <c r="A88" s="47"/>
      <c r="B88" s="51"/>
    </row>
    <row r="89" spans="1:2">
      <c r="A89" s="47"/>
      <c r="B89" s="51"/>
    </row>
    <row r="90" spans="1:2">
      <c r="A90" s="47"/>
      <c r="B90" s="51"/>
    </row>
    <row r="91" spans="1:2">
      <c r="A91" s="47"/>
      <c r="B91" s="51"/>
    </row>
    <row r="92" spans="1:2">
      <c r="A92" s="47"/>
      <c r="B92" s="51"/>
    </row>
    <row r="93" spans="1:2">
      <c r="A93" s="47"/>
      <c r="B93" s="51"/>
    </row>
    <row r="94" spans="1:2">
      <c r="A94" s="47"/>
      <c r="B94" s="51"/>
    </row>
    <row r="95" spans="1:2">
      <c r="A95" s="47"/>
      <c r="B95" s="51"/>
    </row>
    <row r="96" spans="1:2">
      <c r="A96" s="47"/>
      <c r="B96" s="51"/>
    </row>
    <row r="97" spans="1:2">
      <c r="A97" s="47"/>
      <c r="B97" s="51"/>
    </row>
    <row r="98" spans="1:2">
      <c r="A98" s="47"/>
      <c r="B98" s="51"/>
    </row>
    <row r="99" spans="1:2">
      <c r="A99" s="47"/>
      <c r="B99" s="51"/>
    </row>
    <row r="100" spans="1:2">
      <c r="A100" s="47"/>
      <c r="B100" s="51"/>
    </row>
    <row r="101" spans="1:2">
      <c r="A101" s="47"/>
      <c r="B101" s="51"/>
    </row>
    <row r="102" spans="1:2">
      <c r="A102" s="47"/>
      <c r="B102" s="51"/>
    </row>
    <row r="103" spans="1:2">
      <c r="A103" s="47"/>
      <c r="B103" s="51"/>
    </row>
    <row r="104" spans="1:2">
      <c r="A104" s="47"/>
      <c r="B104" s="51"/>
    </row>
    <row r="105" spans="1:2">
      <c r="A105" s="47"/>
      <c r="B105" s="51"/>
    </row>
    <row r="106" spans="1:2">
      <c r="A106" s="47"/>
      <c r="B106" s="51"/>
    </row>
    <row r="107" spans="1:2">
      <c r="A107" s="47"/>
      <c r="B107" s="51"/>
    </row>
    <row r="108" spans="1:2">
      <c r="A108" s="47"/>
      <c r="B108" s="51"/>
    </row>
    <row r="109" spans="1:2">
      <c r="A109" s="47"/>
      <c r="B109" s="51"/>
    </row>
    <row r="110" spans="1:2">
      <c r="A110" s="47"/>
      <c r="B110" s="51"/>
    </row>
    <row r="111" spans="1:2">
      <c r="A111" s="47"/>
      <c r="B111" s="51"/>
    </row>
    <row r="112" spans="1:2">
      <c r="A112" s="47"/>
      <c r="B112" s="51"/>
    </row>
    <row r="113" spans="1:2">
      <c r="A113" s="47"/>
      <c r="B113" s="51"/>
    </row>
    <row r="114" spans="1:2">
      <c r="A114" s="47"/>
      <c r="B114" s="51"/>
    </row>
    <row r="115" spans="1:2">
      <c r="A115" s="47"/>
      <c r="B115" s="51"/>
    </row>
    <row r="116" spans="1:2">
      <c r="A116" s="47"/>
      <c r="B116" s="51"/>
    </row>
    <row r="117" spans="1:2">
      <c r="A117" s="47"/>
      <c r="B117" s="51"/>
    </row>
    <row r="118" spans="1:2">
      <c r="A118" s="47"/>
      <c r="B118" s="51"/>
    </row>
    <row r="119" spans="1:2">
      <c r="A119" s="47"/>
      <c r="B119" s="51"/>
    </row>
    <row r="120" spans="1:2">
      <c r="A120" s="47"/>
      <c r="B120" s="51"/>
    </row>
    <row r="121" spans="1:2">
      <c r="A121" s="47"/>
      <c r="B121" s="51"/>
    </row>
    <row r="122" spans="1:2">
      <c r="A122" s="47"/>
      <c r="B122" s="51"/>
    </row>
    <row r="123" spans="1:2">
      <c r="A123" s="47"/>
      <c r="B123" s="51"/>
    </row>
    <row r="124" spans="1:2">
      <c r="A124" s="47"/>
      <c r="B124" s="51"/>
    </row>
    <row r="125" spans="1:2">
      <c r="A125" s="47"/>
      <c r="B125" s="51"/>
    </row>
    <row r="126" spans="1:2">
      <c r="A126" s="47"/>
      <c r="B126" s="51"/>
    </row>
    <row r="127" spans="1:2">
      <c r="A127" s="47"/>
      <c r="B127" s="51"/>
    </row>
    <row r="128" spans="1:2">
      <c r="A128" s="47"/>
      <c r="B128" s="51"/>
    </row>
    <row r="129" spans="1:2">
      <c r="A129" s="47"/>
      <c r="B129" s="51"/>
    </row>
    <row r="130" spans="1:2">
      <c r="A130" s="47"/>
      <c r="B130" s="51"/>
    </row>
    <row r="131" spans="1:2">
      <c r="A131" s="47"/>
      <c r="B131" s="51"/>
    </row>
    <row r="132" spans="1:2">
      <c r="A132" s="47"/>
      <c r="B132" s="51"/>
    </row>
    <row r="133" spans="1:2">
      <c r="A133" s="47"/>
      <c r="B133" s="51"/>
    </row>
    <row r="134" spans="1:2">
      <c r="A134" s="47"/>
      <c r="B134" s="51"/>
    </row>
    <row r="135" spans="1:2">
      <c r="A135" s="47"/>
      <c r="B135" s="51"/>
    </row>
    <row r="136" spans="1:2">
      <c r="A136" s="47"/>
      <c r="B136" s="51"/>
    </row>
    <row r="137" spans="1:2">
      <c r="A137" s="47"/>
      <c r="B137" s="51"/>
    </row>
    <row r="138" spans="1:2">
      <c r="A138" s="47"/>
      <c r="B138" s="51"/>
    </row>
    <row r="139" spans="1:2">
      <c r="A139" s="47"/>
      <c r="B139" s="51"/>
    </row>
    <row r="140" spans="1:2">
      <c r="A140" s="47"/>
      <c r="B140" s="51"/>
    </row>
    <row r="141" spans="1:2">
      <c r="A141" s="47"/>
      <c r="B141" s="51"/>
    </row>
    <row r="142" spans="1:2">
      <c r="A142" s="47"/>
      <c r="B142" s="51"/>
    </row>
    <row r="143" spans="1:2">
      <c r="A143" s="47"/>
      <c r="B143" s="51"/>
    </row>
    <row r="144" spans="1:2">
      <c r="A144" s="47"/>
      <c r="B144" s="51"/>
    </row>
    <row r="145" spans="1:2">
      <c r="A145" s="47"/>
      <c r="B145" s="51"/>
    </row>
    <row r="146" spans="1:2">
      <c r="A146" s="47"/>
      <c r="B146" s="51"/>
    </row>
    <row r="147" spans="1:2">
      <c r="A147" s="47"/>
      <c r="B147" s="51"/>
    </row>
    <row r="148" spans="1:2">
      <c r="A148" s="47"/>
      <c r="B148" s="51"/>
    </row>
    <row r="149" spans="1:2">
      <c r="A149" s="47"/>
      <c r="B149" s="51"/>
    </row>
    <row r="150" spans="1:2">
      <c r="A150" s="47"/>
      <c r="B150" s="51"/>
    </row>
    <row r="151" spans="1:2">
      <c r="A151" s="47"/>
      <c r="B151" s="51"/>
    </row>
    <row r="152" spans="1:2">
      <c r="A152" s="47"/>
      <c r="B152" s="51"/>
    </row>
    <row r="153" spans="1:2">
      <c r="A153" s="47"/>
      <c r="B153" s="51"/>
    </row>
    <row r="154" spans="1:2">
      <c r="A154" s="47"/>
      <c r="B154" s="51"/>
    </row>
    <row r="155" spans="1:2">
      <c r="A155" s="47"/>
      <c r="B155" s="51"/>
    </row>
    <row r="156" spans="1:2">
      <c r="A156" s="53"/>
      <c r="B156" s="52"/>
    </row>
    <row r="157" spans="1:2">
      <c r="A157" s="53"/>
      <c r="B157" s="52"/>
    </row>
    <row r="158" spans="1:2">
      <c r="A158" s="53"/>
      <c r="B158" s="52"/>
    </row>
    <row r="159" spans="1:2">
      <c r="A159" s="53"/>
      <c r="B159" s="52"/>
    </row>
    <row r="160" spans="1:2">
      <c r="A160" s="53"/>
      <c r="B160" s="52"/>
    </row>
    <row r="161" spans="1:2">
      <c r="A161" s="53"/>
      <c r="B161" s="52"/>
    </row>
    <row r="162" spans="1:2">
      <c r="A162" s="53"/>
      <c r="B162" s="52"/>
    </row>
    <row r="163" spans="1:2">
      <c r="A163" s="53"/>
      <c r="B163" s="52"/>
    </row>
    <row r="164" spans="1:2">
      <c r="A164" s="58"/>
      <c r="B164" s="52"/>
    </row>
    <row r="165" spans="1:2">
      <c r="A165" s="58"/>
      <c r="B165" s="52"/>
    </row>
    <row r="166" spans="1:2">
      <c r="A166" s="58"/>
      <c r="B166" s="52"/>
    </row>
    <row r="167" spans="1:2">
      <c r="A167" s="58"/>
      <c r="B167" s="52"/>
    </row>
    <row r="168" spans="1:2">
      <c r="A168" s="58"/>
      <c r="B168" s="46"/>
    </row>
    <row r="169" spans="1:2">
      <c r="A169" s="58"/>
      <c r="B169" s="52"/>
    </row>
  </sheetData>
  <sortState ref="A2:B75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64:B167 B169:B1048576 B1 B39:B141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B704259-ACC3-4F56-B09E-577323863A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366CDC-3DD9-4558-8FDA-0BC3085048BD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BBCF955-BCBC-4625-83B4-62FC5B8D7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2025-03-24T13:05:13Z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