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://teamsites.capetown.gov.za/sites/cpdm/Coastal Policy/Coastal_Water_Quality/365/Atlantic/"/>
    </mc:Choice>
  </mc:AlternateContent>
  <bookViews>
    <workbookView xWindow="0" yWindow="0" windowWidth="28800" windowHeight="12435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coli'!$A$1:$B$11</definedName>
    <definedName name="_xlnm._FilterDatabase" localSheetId="2" hidden="1">'Faecal streptococci'!$A$1:$B$19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<sst xmlns="http://schemas.openxmlformats.org/spreadsheetml/2006/main" count="61" uniqueCount="26">
  <si>
    <t>Date</t>
  </si>
  <si>
    <t>Eco</t>
  </si>
  <si>
    <t>Fecal Strep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</si>
  <si>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</si>
  <si>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</si>
  <si>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</si>
  <si>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</si>
  <si>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</si>
  <si>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</si>
  <si>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</si>
  <si>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</si>
  <si>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</si>
  <si>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</si>
  <si>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</si>
  <si>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</si>
  <si>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</si>
  <si>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</si>
  <si>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Excellent</t>
  </si>
  <si>
    <t>Llandudno and Hout Bay</t>
  </si>
  <si>
    <t>Hout Bay</t>
  </si>
  <si>
    <t>Not Enough Data</t>
  </si>
  <si>
    <t>1/-</t>
  </si>
  <si>
    <t>228/138</t>
  </si>
  <si>
    <t>Sufficient</t>
  </si>
  <si>
    <t>223/154</t>
  </si>
  <si>
    <t>265/163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</si>
</sst>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0.000"/>
    <numFmt numFmtId="166" formatCode="[$-F800]dddd\,/mmmm/dd\,/yyyy"/>
  </numFmts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  <font>
      <sz val="9"/>
      <color rgb="FF00566E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1F2FA"/>
        <bgColor indexed="64"/>
      </patternFill>
    </fill>
    <fill>
      <patternFill patternType="solid">
        <fgColor rgb="FF90D0EC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6" fillId="5" borderId="7" applyProtection="0">
      <alignment horizontal="center" vertical="center" wrapText="1"/>
    </xf>
    <xf numFmtId="0" fontId="6" fillId="6" borderId="7">
      <alignment horizontal="center" vertical="center" wrapText="1"/>
    </xf>
  </cellStyleXfs>
  <cellXfs count="60">
    <xf numFmtId="0" fontId="0" fillId="0" borderId="0" xfId="0"/>
    <xf numFmtId="0" fontId="2" fillId="0" borderId="0" xfId="0" applyFont="1"/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65" fontId="0" fillId="0" borderId="0" xfId="0" applyNumberFormat="1" applyProtection="1">
      <protection locked="0"/>
    </xf>
    <xf numFmtId="0" fontId="2" fillId="0" borderId="0" xfId="0" applyFont="1" applyProtection="1"/>
    <xf numFmtId="0" fontId="2" fillId="4" borderId="0" xfId="0" applyFont="1" applyFill="1" applyBorder="1" applyAlignment="1" applyProtection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NumberFormat="1" applyFill="1" applyProtection="1">
      <protection locked="0"/>
    </xf>
    <xf numFmtId="0" fontId="0" fillId="4" borderId="0" xfId="0" applyFill="1" applyBorder="1" applyAlignment="1" applyProtection="1">
      <alignment vertical="top" wrapText="1"/>
      <protection locked="0"/>
    </xf>
    <xf numFmtId="0" fontId="0" fillId="4" borderId="0" xfId="0" applyNumberFormat="1" applyFill="1" applyBorder="1" applyAlignment="1" applyProtection="1">
      <alignment vertical="center" wrapText="1"/>
      <protection locked="0"/>
    </xf>
    <xf numFmtId="0" fontId="0" fillId="4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2" fillId="4" borderId="0" xfId="0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5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3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5" fontId="0" fillId="4" borderId="4" xfId="0" applyNumberFormat="1" applyFill="1" applyBorder="1" applyProtection="1">
      <protection locked="0"/>
    </xf>
    <xf numFmtId="0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165" fontId="0" fillId="0" borderId="0" xfId="0" applyNumberFormat="1" applyFill="1" applyProtection="1">
      <protection locked="0"/>
    </xf>
    <xf numFmtId="0" fontId="2" fillId="4" borderId="0" xfId="0" applyFont="1" applyFill="1" applyAlignment="1" applyProtection="1">
      <alignment horizontal="center"/>
    </xf>
    <xf numFmtId="0" fontId="0" fillId="4" borderId="6" xfId="0" applyFill="1" applyBorder="1" applyProtection="1">
      <protection locked="0"/>
    </xf>
    <xf numFmtId="0" fontId="2" fillId="0" borderId="5" xfId="0" applyFont="1" applyBorder="1" applyProtection="1"/>
    <xf numFmtId="14" fontId="0" fillId="4" borderId="0" xfId="0" applyNumberFormat="1" applyFill="1" applyBorder="1" applyAlignment="1" applyProtection="1">
      <alignment vertical="center" wrapText="1"/>
      <protection locked="0"/>
    </xf>
    <xf numFmtId="14" fontId="0" fillId="0" borderId="0" xfId="0" applyNumberForma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wrapText="1"/>
      <protection locked="0"/>
    </xf>
    <xf numFmtId="0" fontId="2" fillId="4" borderId="0" xfId="0" applyNumberFormat="1" applyFont="1" applyFill="1" applyAlignment="1" applyProtection="1">
      <alignment horizontal="center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 applyProtection="1">
      <alignment horizontal="center"/>
    </xf>
    <xf numFmtId="0" fontId="2" fillId="0" borderId="0" xfId="0" applyFont="1" applyAlignment="1">
      <alignment horizontal="center"/>
    </xf>
    <xf numFmtId="0" fontId="0" fillId="0" borderId="0" xfId="0" applyFont="1"/>
    <xf numFmtId="14" fontId="0" fillId="0" borderId="0" xfId="0" applyNumberFormat="1" applyFont="1"/>
    <xf numFmtId="20" fontId="0" fillId="0" borderId="0" xfId="0" applyNumberFormat="1" applyFont="1"/>
    <xf numFmtId="22" fontId="0" fillId="0" borderId="0" xfId="0" applyNumberFormat="1" applyFont="1"/>
    <xf numFmtId="0" fontId="0" fillId="0" borderId="0" xfId="0" applyFont="1" applyAlignment="1">
      <alignment horizontal="center"/>
    </xf>
    <xf numFmtId="1" fontId="0" fillId="0" borderId="0" xfId="0" applyNumberFormat="1" applyFont="1" applyFill="1" applyAlignment="1">
      <alignment horizontal="center"/>
    </xf>
    <xf numFmtId="166" fontId="0" fillId="0" borderId="0" xfId="0" applyNumberFormat="1" applyFont="1" applyAlignment="1">
      <alignment horizontal="left"/>
    </xf>
    <xf numFmtId="166" fontId="0" fillId="0" borderId="0" xfId="0" applyNumberFormat="1" applyFont="1" applyFill="1" applyAlignment="1">
      <alignment horizontal="left"/>
    </xf>
    <xf numFmtId="166" fontId="2" fillId="0" borderId="0" xfId="0" applyNumberFormat="1" applyFont="1" applyAlignment="1">
      <alignment horizontal="center"/>
    </xf>
    <xf numFmtId="0" fontId="0" fillId="4" borderId="3" xfId="0" applyFill="1" applyBorder="1" applyProtection="1">
      <protection locked="0"/>
    </xf>
    <xf numFmtId="164" fontId="2" fillId="0" borderId="0" xfId="0" applyNumberFormat="1" applyFont="1" applyAlignment="1">
      <alignment horizontal="center"/>
    </xf>
    <xf numFmtId="164" fontId="0" fillId="0" borderId="0" xfId="0" applyNumberFormat="1" applyFont="1" applyAlignment="1">
      <alignment horizontal="left"/>
    </xf>
    <xf numFmtId="164" fontId="0" fillId="0" borderId="0" xfId="0" applyNumberFormat="1"/>
    <xf numFmtId="0" fontId="0" fillId="0" borderId="0" xfId="0" applyAlignment="1">
      <alignment horizontal="center"/>
    </xf>
    <xf numFmtId="14" fontId="2" fillId="3" borderId="0" xfId="0" applyNumberFormat="1" applyFont="1" applyFill="1" applyBorder="1" applyAlignment="1" applyProtection="1">
      <alignment horizontal="center"/>
    </xf>
    <xf numFmtId="0" fontId="2" fillId="3" borderId="0" xfId="0" applyNumberFormat="1" applyFont="1" applyFill="1" applyBorder="1" applyAlignment="1" applyProtection="1">
      <alignment horizontal="center"/>
    </xf>
    <xf numFmtId="0" fontId="3" fillId="2" borderId="0" xfId="1" applyFont="1" applyBorder="1" applyAlignment="1" applyProtection="1">
      <alignment horizontal="center"/>
      <protection locked="0"/>
    </xf>
    <xf numFmtId="0" fontId="4" fillId="2" borderId="0" xfId="1" applyFont="1" applyBorder="1" applyAlignment="1" applyProtection="1">
      <alignment horizontal="center" vertical="center"/>
      <protection locked="0"/>
    </xf>
  </cellXfs>
  <cellStyles count="4">
    <cellStyle name="Input" xfId="1" builtinId="20"/>
    <cellStyle name="Mid blue cell" xfId="3"/>
    <cellStyle name="Normal" xfId="0" builtinId="0"/>
    <cellStyle name="Normal blue cell" xfId="2"/>
  </cellStyles>
  <dxfs count="13">
    <dxf>
      <numFmt numFmtId="0" formatCode="General"/>
      <fill>
        <patternFill patternType="solid">
          <fgColor theme="8" tint="0.59996337778862885"/>
          <bgColor theme="8" tint="0.59996337778862885"/>
        </patternFill>
      </fill>
    </dxf>
    <dxf>
      <numFmt numFmtId="0" formatCode="General"/>
      <fill>
        <patternFill patternType="solid">
          <fgColor theme="8" tint="0.59996337778862885"/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95250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100"/>
  <sheetViews>
    <sheetView tabSelected="1" zoomScaleNormal="100" workbookViewId="0">
      <selection activeCell="F23" sqref="F23"/>
    </sheetView>
  </sheetViews>
  <sheetFormatPr defaultRowHeight="15" x14ac:dyDescent="0.25"/>
  <cols>
    <col min="1" max="1" width="1.28515625" customWidth="1"/>
    <col min="2" max="2" width="2.7109375" customWidth="1"/>
    <col min="3" max="3" width="19.7109375" customWidth="1"/>
    <col min="4" max="4" width="19.28515625" customWidth="1"/>
    <col min="5" max="5" width="9.7109375" customWidth="1"/>
    <col min="6" max="6" width="18" bestFit="1" customWidth="1"/>
    <col min="7" max="7" width="9.7109375" customWidth="1"/>
    <col min="8" max="10" width="11.5703125" customWidth="1"/>
    <col min="11" max="11" width="9.5703125" bestFit="1" customWidth="1"/>
  </cols>
  <sheetData>
    <row r="1" spans="1:10" s="3" customFormat="1" ht="7.5" customHeight="1" x14ac:dyDescent="0.25">
      <c r="A1" s="7"/>
      <c r="B1" s="7"/>
      <c r="C1" s="8"/>
      <c r="D1" s="7"/>
      <c r="E1" s="7"/>
      <c r="F1" s="9"/>
      <c r="G1" s="9"/>
      <c r="H1" s="9"/>
      <c r="I1" s="13"/>
      <c r="J1" s="2"/>
    </row>
    <row r="2" spans="1:10" s="3" customFormat="1" x14ac:dyDescent="0.25">
      <c r="A2" s="7"/>
      <c r="B2" s="15"/>
      <c r="C2" s="17"/>
      <c r="D2" s="15"/>
      <c r="E2" s="15"/>
      <c r="F2" s="12"/>
      <c r="G2" s="12"/>
      <c r="H2" s="12"/>
      <c r="I2" s="16"/>
      <c r="J2" s="16"/>
    </row>
    <row r="3" spans="1:10" s="3" customFormat="1" ht="15" customHeight="1" x14ac:dyDescent="0.25">
      <c r="A3" s="7"/>
      <c r="B3" s="15"/>
      <c r="C3" s="58" t="s">
        <v>19</v>
      </c>
      <c r="D3" s="58"/>
      <c r="E3" s="58"/>
      <c r="F3" s="12"/>
      <c r="G3" s="12"/>
      <c r="H3" s="12"/>
      <c r="I3" s="16"/>
      <c r="J3" s="33"/>
    </row>
    <row r="4" spans="1:10" s="3" customFormat="1" ht="15" customHeight="1" x14ac:dyDescent="0.25">
      <c r="A4" s="7"/>
      <c r="B4" s="15"/>
      <c r="C4" s="58"/>
      <c r="D4" s="58"/>
      <c r="E4" s="58"/>
      <c r="F4" s="12"/>
      <c r="G4" s="12"/>
      <c r="H4" s="12"/>
      <c r="I4" s="16"/>
      <c r="J4" s="16"/>
    </row>
    <row r="5" spans="1:10" s="18" customFormat="1" ht="8.25" customHeight="1" x14ac:dyDescent="0.45">
      <c r="A5" s="7"/>
      <c r="B5" s="15"/>
      <c r="C5" s="21"/>
      <c r="D5" s="21"/>
      <c r="E5" s="21"/>
      <c r="F5" s="12"/>
      <c r="G5" s="12"/>
      <c r="H5" s="12"/>
      <c r="I5" s="16"/>
      <c r="J5" s="16"/>
    </row>
    <row r="6" spans="1:10" s="3" customFormat="1" ht="15" customHeight="1" x14ac:dyDescent="0.25">
      <c r="A6" s="7"/>
      <c r="B6" s="15"/>
      <c r="C6" s="6" t="s">
        <v>15</v>
      </c>
      <c r="D6" s="59" t="s">
        <v>18</v>
      </c>
      <c r="E6" s="59"/>
      <c r="F6" s="12"/>
      <c r="G6" s="12"/>
      <c r="H6" s="12"/>
      <c r="I6" s="16"/>
      <c r="J6" s="16"/>
    </row>
    <row r="7" spans="1:10" s="3" customFormat="1" ht="15" customHeight="1" x14ac:dyDescent="0.25">
      <c r="A7" s="7"/>
      <c r="B7" s="15"/>
      <c r="C7" s="6" t="s">
        <v>8</v>
      </c>
      <c r="D7" s="59"/>
      <c r="E7" s="59"/>
      <c r="F7" s="12"/>
      <c r="G7" s="12"/>
      <c r="H7" s="12"/>
      <c r="I7" s="16"/>
      <c r="J7" s="16"/>
    </row>
    <row r="8" spans="1:10" s="3" customFormat="1" ht="15" customHeight="1" x14ac:dyDescent="0.25">
      <c r="A8" s="7"/>
      <c r="B8" s="15"/>
      <c r="C8" s="6" t="s">
        <v>9</v>
      </c>
      <c r="D8" s="59"/>
      <c r="E8" s="59"/>
      <c r="F8" s="12"/>
      <c r="G8" s="12"/>
      <c r="H8" s="12"/>
      <c r="I8" s="16"/>
      <c r="J8" s="16"/>
    </row>
    <row r="9" spans="1:10" s="3" customFormat="1" ht="15" customHeight="1" x14ac:dyDescent="0.25">
      <c r="A9" s="7"/>
      <c r="B9" s="15"/>
      <c r="C9" s="6" t="s">
        <v>3</v>
      </c>
      <c r="D9" s="59">
        <v>12</v>
      </c>
      <c r="E9" s="59"/>
      <c r="F9" s="12"/>
      <c r="G9" s="12"/>
      <c r="H9" s="12"/>
      <c r="I9" s="16"/>
      <c r="J9" s="16"/>
    </row>
    <row r="10" spans="1:10" s="3" customFormat="1" ht="7.5" customHeight="1" x14ac:dyDescent="0.25">
      <c r="A10" s="7"/>
      <c r="B10" s="15"/>
      <c r="C10" s="14"/>
      <c r="D10" s="15"/>
      <c r="E10" s="15"/>
      <c r="F10" s="12"/>
      <c r="G10" s="12"/>
      <c r="H10" s="12"/>
      <c r="I10" s="16"/>
      <c r="J10" s="16"/>
    </row>
    <row r="11" spans="1:10" s="3" customFormat="1" ht="15" customHeight="1" x14ac:dyDescent="0.25">
      <c r="A11" s="7"/>
      <c r="B11" s="34"/>
      <c r="C11" s="6" t="s">
        <v>10</v>
      </c>
      <c r="D11" s="56">
        <f ca="1">TODAY()</f>
        <v>45740</v>
      </c>
      <c r="E11" s="56"/>
      <c r="F11" s="12"/>
      <c r="G11" s="12"/>
      <c r="H11" s="12"/>
      <c r="I11" s="16"/>
      <c r="J11" s="16"/>
    </row>
    <row r="12" spans="1:10" s="3" customFormat="1" ht="15" customHeight="1" x14ac:dyDescent="0.25">
      <c r="A12" s="7"/>
      <c r="B12" s="15"/>
      <c r="C12" s="6" t="s">
        <v>13</v>
      </c>
      <c r="D12" s="56">
        <f>MAX(MAX('Escherichia coli'!A:A),MAX('Faecal streptococci'!A:A))</f>
        <v>45734</v>
      </c>
      <c r="E12" s="56"/>
      <c r="F12" s="10"/>
      <c r="G12" s="12"/>
      <c r="H12" s="12"/>
      <c r="I12" s="16"/>
      <c r="J12" s="16"/>
    </row>
    <row r="13" spans="1:10" s="3" customFormat="1" ht="15" customHeight="1" x14ac:dyDescent="0.25">
      <c r="A13" s="7"/>
      <c r="B13" s="15"/>
      <c r="C13" s="6" t="s">
        <v>4</v>
      </c>
      <c r="D13" s="57">
        <f ca="1">YEAR(D11)+(MONTH(D11)&gt;=D9)</f>
        <v>2025</v>
      </c>
      <c r="E13" s="57"/>
      <c r="F13" s="11"/>
      <c r="G13" s="12"/>
      <c r="H13" s="12"/>
      <c r="I13" s="16"/>
      <c r="J13" s="16"/>
    </row>
    <row r="14" spans="1:10" s="3" customFormat="1" x14ac:dyDescent="0.25">
      <c r="A14" s="7"/>
      <c r="B14" s="15"/>
      <c r="C14" s="6" t="s">
        <v>11</v>
      </c>
      <c r="D14" s="56" t="str">
        <f ca="1">CONCATENATE(TEXT(DATE(D13-1,D9,1), "yyyy/mm/dd")," - ",TEXT(D11,"yyyy/mm/dd"))</f>
        <v>2024/12/01 - 2025/03/24</v>
      </c>
      <c r="E14" s="56"/>
      <c r="F14" s="31"/>
      <c r="G14" s="12"/>
      <c r="H14" s="12"/>
      <c r="I14" s="16"/>
      <c r="J14" s="16"/>
    </row>
    <row r="15" spans="1:10" s="3" customFormat="1" x14ac:dyDescent="0.25">
      <c r="A15" s="7"/>
      <c r="B15" s="15"/>
      <c r="C15" s="6" t="s">
        <v>12</v>
      </c>
      <c r="D15" s="56" t="str">
        <f ca="1">CONCATENATE(TEXT(DATE(D13-5,D9,1), "yyyy/mm/dd")," - ",TEXT(D11,"yyyy/mm/dd"))</f>
        <v>2020/12/01 - 2025/03/24</v>
      </c>
      <c r="E15" s="56"/>
      <c r="F15" s="31"/>
      <c r="G15" s="12"/>
      <c r="H15" s="12"/>
      <c r="I15" s="16"/>
      <c r="J15" s="16"/>
    </row>
    <row r="16" spans="1:10" s="3" customFormat="1" x14ac:dyDescent="0.25">
      <c r="A16" s="7"/>
      <c r="B16" s="7"/>
      <c r="C16" s="8"/>
      <c r="D16" s="7"/>
      <c r="E16" s="7"/>
      <c r="F16" s="35"/>
      <c r="G16" s="35"/>
      <c r="H16" s="35"/>
      <c r="I16" s="36"/>
      <c r="J16" s="37"/>
    </row>
    <row r="17" spans="1:13" s="3" customFormat="1" x14ac:dyDescent="0.25">
      <c r="A17" s="7"/>
      <c r="B17" s="7"/>
      <c r="C17" s="20"/>
      <c r="D17" s="5" t="s">
        <v>6</v>
      </c>
      <c r="E17" s="40" t="s">
        <v>14</v>
      </c>
      <c r="F17" s="30" t="s">
        <v>7</v>
      </c>
      <c r="G17" s="40" t="s">
        <v>14</v>
      </c>
      <c r="H17" s="35"/>
      <c r="I17" s="36"/>
      <c r="J17" s="38"/>
    </row>
    <row r="18" spans="1:13" s="3" customFormat="1" x14ac:dyDescent="0.25">
      <c r="A18" s="7"/>
      <c r="B18" s="7"/>
      <c r="C18" s="28" t="str">
        <f ca="1">CONCATENATE(D13," to date")</f>
        <v>2025 to date</v>
      </c>
      <c r="D18" s="29" t="s">
        <v>20</v>
      </c>
      <c r="E18" s="26"/>
      <c r="F18" s="22" t="s">
        <v>23</v>
      </c>
      <c r="G18" s="26" t="s">
        <v>22</v>
      </c>
      <c r="H18" s="19"/>
      <c r="I18" s="27"/>
      <c r="J18" s="2"/>
    </row>
    <row r="19" spans="1:13" s="3" customFormat="1" x14ac:dyDescent="0.25">
      <c r="A19" s="7"/>
      <c r="B19" s="7"/>
      <c r="C19" s="28" t="str">
        <f ca="1">CONCATENATE(D13-5," - ",D13)</f>
        <v>2020 - 2025</v>
      </c>
      <c r="D19" s="22" t="s">
        <v>17</v>
      </c>
      <c r="E19" s="39" t="s">
        <v>21</v>
      </c>
      <c r="F19" s="22" t="s">
        <v>23</v>
      </c>
      <c r="G19" s="39" t="s">
        <v>24</v>
      </c>
      <c r="H19" s="19"/>
      <c r="I19" s="32"/>
      <c r="J19" s="4"/>
      <c r="K19" s="4"/>
      <c r="L19" s="4"/>
      <c r="M19" s="4"/>
    </row>
    <row r="20" spans="1:13" s="3" customFormat="1" x14ac:dyDescent="0.25">
      <c r="A20" s="7"/>
      <c r="B20" s="7"/>
      <c r="C20" s="28" t="s">
        <v>16</v>
      </c>
      <c r="D20" s="22" t="s">
        <v>17</v>
      </c>
      <c r="E20" s="39" t="s">
        <v>21</v>
      </c>
      <c r="F20" s="22" t="s">
        <v>23</v>
      </c>
      <c r="G20" s="39" t="s">
        <v>24</v>
      </c>
      <c r="H20" s="19"/>
      <c r="I20" s="27"/>
      <c r="J20" s="4"/>
      <c r="K20" s="4"/>
      <c r="L20" s="4"/>
      <c r="M20" s="4"/>
    </row>
    <row r="21" spans="1:13" s="3" customFormat="1" x14ac:dyDescent="0.25">
      <c r="A21" s="7"/>
      <c r="B21" s="7"/>
      <c r="C21" s="14" t="s">
        <v>5</v>
      </c>
      <c r="D21" s="22" t="s">
        <v>17</v>
      </c>
      <c r="E21" s="39" t="s">
        <v>21</v>
      </c>
      <c r="F21" s="22" t="s">
        <v>23</v>
      </c>
      <c r="G21" s="39" t="s">
        <v>25</v>
      </c>
      <c r="H21" s="19"/>
      <c r="I21" s="27"/>
      <c r="J21" s="4"/>
      <c r="K21" s="4"/>
      <c r="L21" s="4"/>
      <c r="M21" s="4"/>
    </row>
    <row r="22" spans="1:13" s="3" customFormat="1" x14ac:dyDescent="0.25">
      <c r="A22" s="7"/>
      <c r="B22" s="7"/>
      <c r="C22" s="51">
        <v>2025</v>
      </c>
      <c r="D22" s="7" t="s">
        <v>20</v>
      </c>
      <c r="E22" s="39"/>
      <c r="F22" s="22" t="s">
        <v>23</v>
      </c>
      <c r="G22" s="39" t="s">
        <v>22</v>
      </c>
      <c r="H22" s="19"/>
      <c r="I22" s="27"/>
      <c r="J22" s="4"/>
      <c r="K22" s="4"/>
      <c r="L22" s="4"/>
      <c r="M22" s="4"/>
    </row>
    <row r="23" spans="1:13" s="3" customFormat="1" x14ac:dyDescent="0.25">
      <c r="A23" s="7"/>
      <c r="B23" s="7"/>
      <c r="C23" s="51">
        <v>2024</v>
      </c>
      <c r="D23" s="7" t="s">
        <v>20</v>
      </c>
      <c r="E23" s="39"/>
      <c r="F23" s="22" t="s">
        <v>20</v>
      </c>
      <c r="G23" s="39"/>
      <c r="H23" s="19"/>
      <c r="I23" s="27"/>
      <c r="J23" s="4"/>
      <c r="K23" s="4"/>
      <c r="L23" s="4"/>
      <c r="M23" s="4"/>
    </row>
    <row r="24" spans="1:13" s="3" customFormat="1" x14ac:dyDescent="0.25">
      <c r="A24" s="7"/>
      <c r="B24" s="7"/>
      <c r="C24" s="51">
        <v>2023</v>
      </c>
      <c r="D24" s="7" t="s">
        <v>20</v>
      </c>
      <c r="E24" s="39"/>
      <c r="F24" s="22" t="s">
        <v>20</v>
      </c>
      <c r="G24" s="39"/>
      <c r="H24" s="19"/>
      <c r="I24" s="27"/>
      <c r="J24" s="4"/>
      <c r="K24" s="4"/>
      <c r="L24" s="4"/>
      <c r="M24" s="4"/>
    </row>
    <row r="25" spans="1:13" s="3" customFormat="1" x14ac:dyDescent="0.25">
      <c r="A25" s="7"/>
      <c r="B25" s="7"/>
      <c r="C25" s="51">
        <v>2022</v>
      </c>
      <c r="D25" s="7" t="s">
        <v>20</v>
      </c>
      <c r="E25" s="39"/>
      <c r="F25" s="22" t="s">
        <v>20</v>
      </c>
      <c r="G25" s="39"/>
      <c r="H25" s="19"/>
      <c r="I25" s="27"/>
      <c r="J25" s="4"/>
      <c r="K25" s="4"/>
      <c r="L25" s="4"/>
      <c r="M25" s="4"/>
    </row>
    <row r="26" spans="1:13" s="3" customFormat="1" x14ac:dyDescent="0.25">
      <c r="A26" s="7"/>
      <c r="B26" s="7"/>
      <c r="C26" s="51">
        <v>2021</v>
      </c>
      <c r="D26" s="3" t="s">
        <v>20</v>
      </c>
      <c r="E26" s="26"/>
      <c r="F26" s="23" t="s">
        <v>20</v>
      </c>
      <c r="G26" s="26"/>
      <c r="H26" s="19"/>
      <c r="I26" s="27"/>
      <c r="J26" s="4"/>
    </row>
    <row r="27" spans="1:13" s="3" customFormat="1" x14ac:dyDescent="0.25">
      <c r="A27" s="7"/>
      <c r="B27" s="7"/>
      <c r="C27" s="17">
        <v>2020</v>
      </c>
      <c r="D27" s="22" t="s">
        <v>20</v>
      </c>
      <c r="E27" s="7"/>
      <c r="F27" s="24" t="s">
        <v>20</v>
      </c>
      <c r="G27" s="19"/>
      <c r="H27" s="19"/>
      <c r="I27" s="27"/>
      <c r="J27" s="4"/>
    </row>
    <row r="28" spans="1:13" s="3" customFormat="1" x14ac:dyDescent="0.25">
      <c r="A28" s="7"/>
      <c r="B28" s="7"/>
      <c r="C28" s="17">
        <v>2019</v>
      </c>
      <c r="D28" s="22" t="s">
        <v>20</v>
      </c>
      <c r="E28" s="7"/>
      <c r="F28" s="24" t="s">
        <v>20</v>
      </c>
      <c r="G28" s="19"/>
      <c r="H28" s="19"/>
      <c r="I28" s="27"/>
      <c r="J28" s="4"/>
    </row>
    <row r="29" spans="1:13" s="3" customFormat="1" x14ac:dyDescent="0.25">
      <c r="A29" s="7"/>
      <c r="B29" s="7"/>
      <c r="C29" s="17">
        <v>2018</v>
      </c>
      <c r="D29" s="22" t="s">
        <v>20</v>
      </c>
      <c r="E29" s="7"/>
      <c r="F29" s="24" t="s">
        <v>20</v>
      </c>
      <c r="G29" s="19"/>
      <c r="H29" s="19"/>
      <c r="I29" s="27"/>
      <c r="J29" s="4"/>
    </row>
    <row r="30" spans="1:13" s="3" customFormat="1" x14ac:dyDescent="0.25">
      <c r="A30" s="7"/>
      <c r="B30" s="7"/>
      <c r="C30" s="17">
        <v>2017</v>
      </c>
      <c r="D30" s="22" t="s">
        <v>20</v>
      </c>
      <c r="E30" s="7"/>
      <c r="F30" s="24" t="s">
        <v>20</v>
      </c>
      <c r="G30" s="19"/>
      <c r="H30" s="19"/>
      <c r="I30" s="27"/>
      <c r="J30" s="4"/>
    </row>
    <row r="31" spans="1:13" s="3" customFormat="1" x14ac:dyDescent="0.25">
      <c r="A31" s="7"/>
      <c r="B31" s="7"/>
      <c r="C31" s="17">
        <v>2016</v>
      </c>
      <c r="D31" s="22" t="s">
        <v>20</v>
      </c>
      <c r="E31" s="7"/>
      <c r="F31" s="24" t="s">
        <v>20</v>
      </c>
      <c r="G31" s="19"/>
      <c r="H31" s="19"/>
      <c r="I31" s="27"/>
      <c r="J31" s="4"/>
    </row>
    <row r="32" spans="1:13" s="3" customFormat="1" x14ac:dyDescent="0.25">
      <c r="A32" s="7"/>
      <c r="B32" s="7"/>
      <c r="C32" s="17">
        <v>2015</v>
      </c>
      <c r="D32" s="22" t="s">
        <v>20</v>
      </c>
      <c r="E32" s="7"/>
      <c r="F32" s="24" t="s">
        <v>20</v>
      </c>
      <c r="G32" s="19"/>
      <c r="H32" s="19"/>
      <c r="I32" s="27"/>
      <c r="J32" s="4"/>
    </row>
    <row r="33" spans="1:10" s="3" customFormat="1" x14ac:dyDescent="0.25">
      <c r="A33" s="7"/>
      <c r="B33" s="7"/>
      <c r="C33" s="15">
        <v>2014</v>
      </c>
      <c r="D33" s="22" t="s">
        <v>20</v>
      </c>
      <c r="E33" s="7"/>
      <c r="F33" s="24" t="s">
        <v>20</v>
      </c>
      <c r="G33" s="19"/>
      <c r="H33" s="19"/>
      <c r="I33" s="27"/>
      <c r="J33" s="4"/>
    </row>
    <row r="34" spans="1:10" s="3" customFormat="1" x14ac:dyDescent="0.25">
      <c r="A34" s="7"/>
      <c r="B34" s="7"/>
      <c r="C34" s="15"/>
      <c r="D34" s="22"/>
      <c r="E34" s="7"/>
      <c r="F34" s="24"/>
      <c r="G34" s="19"/>
      <c r="H34" s="19"/>
      <c r="I34" s="27"/>
      <c r="J34" s="4"/>
    </row>
    <row r="35" spans="1:10" s="3" customFormat="1" x14ac:dyDescent="0.25">
      <c r="A35" s="7"/>
      <c r="B35" s="7"/>
      <c r="C35" s="15"/>
      <c r="D35" s="22"/>
      <c r="E35" s="7"/>
      <c r="F35" s="24"/>
      <c r="G35" s="19"/>
      <c r="H35" s="19"/>
      <c r="I35" s="27"/>
      <c r="J35" s="4"/>
    </row>
    <row r="36" spans="1:10" s="3" customFormat="1" x14ac:dyDescent="0.25">
      <c r="A36" s="7"/>
      <c r="B36" s="7"/>
      <c r="C36" s="15"/>
      <c r="D36" s="22"/>
      <c r="E36" s="7"/>
      <c r="F36" s="24"/>
      <c r="G36" s="19"/>
      <c r="H36" s="19"/>
      <c r="I36" s="27"/>
      <c r="J36" s="4"/>
    </row>
    <row r="37" spans="1:10" s="3" customFormat="1" x14ac:dyDescent="0.25">
      <c r="A37" s="7"/>
      <c r="B37" s="7"/>
      <c r="C37" s="15"/>
      <c r="D37" s="22"/>
      <c r="E37" s="7"/>
      <c r="F37" s="24"/>
      <c r="G37" s="19"/>
      <c r="H37" s="19"/>
      <c r="I37" s="27"/>
      <c r="J37" s="4"/>
    </row>
    <row r="38" spans="1:10" s="3" customFormat="1" x14ac:dyDescent="0.25">
      <c r="A38" s="7"/>
      <c r="B38" s="7"/>
      <c r="C38" s="15"/>
      <c r="D38" s="22"/>
      <c r="E38" s="7"/>
      <c r="F38" s="24"/>
      <c r="G38" s="19"/>
      <c r="H38" s="19"/>
      <c r="I38" s="27"/>
      <c r="J38" s="4"/>
    </row>
    <row r="39" spans="1:10" s="3" customFormat="1" x14ac:dyDescent="0.25">
      <c r="A39" s="7"/>
      <c r="B39" s="7"/>
      <c r="C39" s="15"/>
      <c r="D39" s="22"/>
      <c r="E39" s="7"/>
      <c r="F39" s="24"/>
      <c r="G39" s="19"/>
      <c r="H39" s="19"/>
      <c r="I39" s="27"/>
      <c r="J39" s="4"/>
    </row>
    <row r="40" spans="1:10" s="3" customFormat="1" x14ac:dyDescent="0.25">
      <c r="A40" s="7"/>
      <c r="B40" s="7"/>
      <c r="C40" s="15"/>
      <c r="D40" s="22"/>
      <c r="E40" s="7"/>
      <c r="F40" s="24"/>
      <c r="G40" s="19"/>
      <c r="H40" s="19"/>
      <c r="I40" s="27"/>
      <c r="J40" s="4"/>
    </row>
    <row r="41" spans="1:10" s="3" customFormat="1" x14ac:dyDescent="0.25">
      <c r="A41" s="7"/>
      <c r="B41" s="7"/>
      <c r="C41" s="15"/>
      <c r="D41" s="22"/>
      <c r="E41" s="7"/>
      <c r="F41" s="24"/>
      <c r="G41" s="19"/>
      <c r="H41" s="19"/>
      <c r="I41" s="27"/>
      <c r="J41" s="4"/>
    </row>
    <row r="42" spans="1:10" s="3" customFormat="1" x14ac:dyDescent="0.25">
      <c r="A42" s="7"/>
      <c r="B42" s="7"/>
      <c r="C42" s="15"/>
      <c r="D42" s="22"/>
      <c r="E42" s="7"/>
      <c r="F42" s="24"/>
      <c r="G42" s="19"/>
      <c r="H42" s="19"/>
      <c r="I42" s="27"/>
      <c r="J42" s="4"/>
    </row>
    <row r="43" spans="1:10" s="3" customFormat="1" x14ac:dyDescent="0.25">
      <c r="A43" s="7"/>
      <c r="B43" s="7"/>
      <c r="C43" s="15"/>
      <c r="D43" s="22"/>
      <c r="E43" s="7"/>
      <c r="F43" s="24"/>
      <c r="G43" s="19"/>
      <c r="H43" s="19"/>
      <c r="I43" s="27"/>
      <c r="J43" s="4"/>
    </row>
    <row r="44" spans="1:10" s="3" customFormat="1" x14ac:dyDescent="0.25">
      <c r="A44" s="7"/>
      <c r="B44" s="7"/>
      <c r="C44" s="15"/>
      <c r="D44" s="22"/>
      <c r="E44" s="7"/>
      <c r="F44" s="24"/>
      <c r="G44" s="19"/>
      <c r="H44" s="19"/>
      <c r="I44" s="27"/>
      <c r="J44" s="4"/>
    </row>
    <row r="45" spans="1:10" s="3" customFormat="1" x14ac:dyDescent="0.25">
      <c r="A45" s="7"/>
      <c r="B45" s="7"/>
      <c r="C45" s="15"/>
      <c r="D45" s="22"/>
      <c r="E45" s="7"/>
      <c r="F45" s="22"/>
      <c r="G45" s="7"/>
      <c r="H45" s="7"/>
      <c r="I45" s="18"/>
    </row>
    <row r="46" spans="1:10" s="3" customFormat="1" x14ac:dyDescent="0.25">
      <c r="A46" s="7"/>
      <c r="B46" s="7"/>
      <c r="C46" s="15"/>
      <c r="D46" s="22"/>
      <c r="E46" s="7"/>
      <c r="F46" s="22"/>
      <c r="G46" s="7"/>
      <c r="H46" s="7"/>
      <c r="I46" s="18"/>
    </row>
    <row r="47" spans="1:10" s="3" customFormat="1" x14ac:dyDescent="0.25">
      <c r="A47" s="7"/>
      <c r="B47" s="7"/>
      <c r="C47" s="7"/>
      <c r="D47" s="22"/>
      <c r="E47" s="7"/>
      <c r="F47" s="22"/>
      <c r="G47" s="7"/>
      <c r="H47" s="7"/>
      <c r="I47" s="18"/>
    </row>
    <row r="48" spans="1:10" s="3" customFormat="1" x14ac:dyDescent="0.25">
      <c r="A48" s="7"/>
      <c r="B48" s="7"/>
      <c r="C48" s="7"/>
      <c r="D48" s="22"/>
      <c r="E48" s="7"/>
      <c r="F48" s="22"/>
      <c r="G48" s="7"/>
      <c r="H48" s="7"/>
      <c r="I48" s="18"/>
    </row>
    <row r="49" spans="1:9" s="3" customFormat="1" x14ac:dyDescent="0.25">
      <c r="A49" s="7"/>
      <c r="B49" s="7"/>
      <c r="C49" s="7"/>
      <c r="D49" s="22"/>
      <c r="E49" s="7"/>
      <c r="F49" s="22"/>
      <c r="G49" s="7"/>
      <c r="H49" s="7"/>
      <c r="I49" s="18"/>
    </row>
    <row r="50" spans="1:9" s="3" customFormat="1" x14ac:dyDescent="0.25">
      <c r="A50" s="7"/>
      <c r="B50" s="7"/>
      <c r="C50" s="7"/>
      <c r="D50" s="22"/>
      <c r="E50" s="7"/>
      <c r="F50" s="22"/>
      <c r="G50" s="7"/>
      <c r="H50" s="7"/>
      <c r="I50" s="18"/>
    </row>
    <row r="51" spans="1:9" s="3" customFormat="1" x14ac:dyDescent="0.25">
      <c r="A51" s="7"/>
      <c r="B51" s="7"/>
      <c r="C51" s="7"/>
      <c r="D51" s="22"/>
      <c r="E51" s="7"/>
      <c r="F51" s="22"/>
      <c r="G51" s="7"/>
      <c r="H51" s="7"/>
      <c r="I51" s="18"/>
    </row>
    <row r="52" spans="1:9" s="3" customFormat="1" x14ac:dyDescent="0.25">
      <c r="A52" s="7"/>
      <c r="B52" s="7"/>
      <c r="C52" s="7"/>
      <c r="D52" s="22"/>
      <c r="E52" s="7"/>
      <c r="F52" s="22"/>
      <c r="G52" s="7"/>
      <c r="H52" s="7"/>
      <c r="I52" s="18"/>
    </row>
    <row r="53" spans="1:9" s="3" customFormat="1" x14ac:dyDescent="0.25">
      <c r="A53" s="7"/>
      <c r="B53" s="7"/>
      <c r="C53" s="7"/>
      <c r="D53" s="22"/>
      <c r="E53" s="7"/>
      <c r="F53" s="22"/>
      <c r="G53" s="7"/>
      <c r="H53" s="7"/>
      <c r="I53" s="18"/>
    </row>
    <row r="54" spans="1:9" s="3" customFormat="1" x14ac:dyDescent="0.25">
      <c r="A54" s="7"/>
      <c r="B54" s="7"/>
      <c r="C54" s="7"/>
      <c r="D54" s="22"/>
      <c r="E54" s="7"/>
      <c r="F54" s="22"/>
      <c r="G54" s="7"/>
      <c r="H54" s="7"/>
      <c r="I54" s="18"/>
    </row>
    <row r="55" spans="1:9" s="3" customFormat="1" x14ac:dyDescent="0.25">
      <c r="A55" s="7"/>
      <c r="B55" s="7"/>
      <c r="C55" s="7"/>
      <c r="D55" s="22"/>
      <c r="E55" s="7"/>
      <c r="F55" s="22"/>
      <c r="G55" s="7"/>
      <c r="H55" s="7"/>
      <c r="I55" s="18"/>
    </row>
    <row r="56" spans="1:9" s="3" customFormat="1" x14ac:dyDescent="0.25">
      <c r="A56" s="7"/>
      <c r="B56" s="7"/>
      <c r="C56" s="7"/>
      <c r="D56" s="22"/>
      <c r="E56" s="7"/>
      <c r="F56" s="22"/>
      <c r="G56" s="7"/>
      <c r="H56" s="7"/>
      <c r="I56" s="18"/>
    </row>
    <row r="57" spans="1:9" s="3" customFormat="1" x14ac:dyDescent="0.25">
      <c r="A57" s="7"/>
      <c r="B57" s="7"/>
      <c r="C57" s="7"/>
      <c r="D57" s="22"/>
      <c r="E57" s="7"/>
      <c r="F57" s="22"/>
      <c r="G57" s="7"/>
      <c r="H57" s="7"/>
      <c r="I57" s="18"/>
    </row>
    <row r="58" spans="1:9" s="3" customFormat="1" x14ac:dyDescent="0.25">
      <c r="A58" s="7"/>
      <c r="B58" s="7"/>
      <c r="C58" s="7"/>
      <c r="D58" s="22"/>
      <c r="E58" s="7"/>
      <c r="F58" s="22"/>
      <c r="G58" s="7"/>
      <c r="H58" s="7"/>
      <c r="I58" s="18"/>
    </row>
    <row r="59" spans="1:9" s="3" customFormat="1" x14ac:dyDescent="0.25">
      <c r="A59" s="7"/>
      <c r="B59" s="7"/>
      <c r="C59" s="7"/>
      <c r="D59" s="22"/>
      <c r="E59" s="7"/>
      <c r="F59" s="22"/>
      <c r="G59" s="7"/>
      <c r="H59" s="7"/>
      <c r="I59" s="18"/>
    </row>
    <row r="60" spans="1:9" s="3" customFormat="1" x14ac:dyDescent="0.25">
      <c r="A60" s="7"/>
      <c r="B60" s="7"/>
      <c r="C60" s="7"/>
      <c r="D60" s="22"/>
      <c r="E60" s="7"/>
      <c r="F60" s="22"/>
      <c r="G60" s="7"/>
      <c r="H60" s="7"/>
      <c r="I60" s="18"/>
    </row>
    <row r="61" spans="1:9" s="3" customFormat="1" x14ac:dyDescent="0.25">
      <c r="A61" s="7"/>
      <c r="B61" s="7"/>
      <c r="C61" s="7"/>
      <c r="D61" s="22"/>
      <c r="E61" s="7"/>
      <c r="F61" s="22"/>
      <c r="G61" s="7"/>
      <c r="H61" s="7"/>
      <c r="I61" s="18"/>
    </row>
    <row r="62" spans="1:9" s="3" customFormat="1" x14ac:dyDescent="0.25">
      <c r="A62" s="7"/>
      <c r="B62" s="7"/>
      <c r="C62" s="7"/>
      <c r="D62" s="22"/>
      <c r="E62" s="7"/>
      <c r="F62" s="22"/>
      <c r="G62" s="7"/>
      <c r="H62" s="7"/>
      <c r="I62" s="18"/>
    </row>
    <row r="63" spans="1:9" s="3" customFormat="1" x14ac:dyDescent="0.25">
      <c r="A63" s="7"/>
      <c r="B63" s="7"/>
      <c r="C63" s="7"/>
      <c r="D63" s="22"/>
      <c r="E63" s="7"/>
      <c r="F63" s="22"/>
      <c r="G63" s="7"/>
      <c r="H63" s="7"/>
      <c r="I63" s="18"/>
    </row>
    <row r="64" spans="1:9" s="3" customFormat="1" x14ac:dyDescent="0.25">
      <c r="A64" s="7"/>
      <c r="B64" s="7"/>
      <c r="C64" s="7"/>
      <c r="D64" s="22"/>
      <c r="E64" s="7"/>
      <c r="F64" s="22"/>
      <c r="G64" s="7"/>
      <c r="H64" s="7"/>
      <c r="I64" s="18"/>
    </row>
    <row r="65" spans="1:10" s="3" customFormat="1" x14ac:dyDescent="0.25">
      <c r="A65" s="7"/>
      <c r="B65" s="7"/>
      <c r="C65" s="7"/>
      <c r="D65" s="22"/>
      <c r="E65" s="7"/>
      <c r="F65" s="22"/>
      <c r="G65" s="7"/>
      <c r="H65" s="7"/>
      <c r="I65" s="18"/>
    </row>
    <row r="66" spans="1:10" s="3" customFormat="1" x14ac:dyDescent="0.25">
      <c r="A66" s="7"/>
      <c r="B66" s="7"/>
      <c r="C66" s="7"/>
      <c r="D66" s="22"/>
      <c r="E66" s="7"/>
      <c r="F66" s="22"/>
      <c r="G66" s="7"/>
      <c r="H66" s="7"/>
      <c r="I66" s="18"/>
    </row>
    <row r="67" spans="1:10" s="3" customFormat="1" x14ac:dyDescent="0.25">
      <c r="A67" s="7"/>
      <c r="B67" s="7"/>
      <c r="C67" s="7"/>
      <c r="D67" s="22"/>
      <c r="E67" s="7"/>
      <c r="F67" s="22"/>
      <c r="G67" s="7"/>
      <c r="H67" s="7"/>
      <c r="I67" s="18"/>
    </row>
    <row r="68" spans="1:10" s="3" customFormat="1" x14ac:dyDescent="0.25">
      <c r="A68" s="7"/>
      <c r="B68" s="7"/>
      <c r="C68" s="7"/>
      <c r="D68" s="22"/>
      <c r="E68" s="7"/>
      <c r="F68" s="22"/>
      <c r="G68" s="7"/>
      <c r="H68" s="7"/>
      <c r="I68" s="18"/>
    </row>
    <row r="69" spans="1:10" s="3" customFormat="1" x14ac:dyDescent="0.25">
      <c r="A69" s="7"/>
      <c r="B69" s="7"/>
      <c r="C69" s="7"/>
      <c r="D69" s="22"/>
      <c r="E69" s="7"/>
      <c r="F69" s="22"/>
      <c r="G69" s="7"/>
      <c r="H69" s="7"/>
      <c r="I69" s="18"/>
    </row>
    <row r="70" spans="1:10" s="3" customFormat="1" x14ac:dyDescent="0.25">
      <c r="A70" s="7"/>
      <c r="B70" s="7"/>
      <c r="C70" s="7"/>
      <c r="D70" s="22"/>
      <c r="E70" s="7"/>
      <c r="F70" s="22"/>
      <c r="G70" s="7"/>
      <c r="H70" s="7"/>
      <c r="I70" s="18"/>
    </row>
    <row r="71" spans="1:10" s="3" customFormat="1" x14ac:dyDescent="0.25">
      <c r="A71" s="7"/>
      <c r="B71" s="7"/>
      <c r="C71" s="7"/>
      <c r="D71" s="22"/>
      <c r="E71" s="7"/>
      <c r="F71" s="22"/>
      <c r="G71" s="7"/>
      <c r="H71" s="7"/>
      <c r="I71" s="18"/>
    </row>
    <row r="72" spans="1:10" s="3" customFormat="1" x14ac:dyDescent="0.25">
      <c r="A72" s="7"/>
      <c r="B72" s="7"/>
      <c r="C72" s="8"/>
      <c r="D72" s="22"/>
      <c r="E72" s="7"/>
      <c r="F72" s="25"/>
      <c r="G72" s="9"/>
      <c r="H72" s="9"/>
      <c r="I72" s="13"/>
      <c r="J72" s="2"/>
    </row>
    <row r="73" spans="1:10" s="3" customFormat="1" x14ac:dyDescent="0.25">
      <c r="A73" s="7"/>
      <c r="B73" s="7"/>
      <c r="C73" s="8"/>
      <c r="D73" s="22"/>
      <c r="E73" s="7"/>
      <c r="F73" s="25"/>
      <c r="G73" s="9"/>
      <c r="H73" s="9"/>
      <c r="I73" s="13"/>
      <c r="J73" s="2"/>
    </row>
    <row r="74" spans="1:10" s="3" customFormat="1" x14ac:dyDescent="0.25">
      <c r="A74" s="7"/>
      <c r="B74" s="7"/>
      <c r="C74" s="8"/>
      <c r="D74" s="22"/>
      <c r="E74" s="7"/>
      <c r="F74" s="25"/>
      <c r="G74" s="9"/>
      <c r="H74" s="9"/>
      <c r="I74" s="13"/>
      <c r="J74" s="2"/>
    </row>
    <row r="75" spans="1:10" s="3" customFormat="1" x14ac:dyDescent="0.25">
      <c r="A75" s="7"/>
      <c r="B75" s="7"/>
      <c r="C75" s="8"/>
      <c r="D75" s="22"/>
      <c r="E75" s="7"/>
      <c r="F75" s="25"/>
      <c r="G75" s="9"/>
      <c r="H75" s="9"/>
      <c r="I75" s="13"/>
      <c r="J75" s="2"/>
    </row>
    <row r="76" spans="1:10" s="3" customFormat="1" x14ac:dyDescent="0.25">
      <c r="A76" s="7"/>
      <c r="B76" s="7"/>
      <c r="C76" s="8"/>
      <c r="D76" s="22"/>
      <c r="E76" s="7"/>
      <c r="F76" s="25"/>
      <c r="G76" s="9"/>
      <c r="H76" s="9"/>
      <c r="I76" s="13"/>
      <c r="J76" s="2"/>
    </row>
    <row r="77" spans="1:10" s="3" customFormat="1" x14ac:dyDescent="0.25">
      <c r="A77" s="7"/>
      <c r="B77" s="7"/>
      <c r="C77" s="8"/>
      <c r="D77" s="22"/>
      <c r="E77" s="7"/>
      <c r="F77" s="25"/>
      <c r="G77" s="9"/>
      <c r="H77" s="9"/>
      <c r="I77" s="13"/>
      <c r="J77" s="2"/>
    </row>
    <row r="78" spans="1:10" s="3" customFormat="1" x14ac:dyDescent="0.25">
      <c r="A78" s="7"/>
      <c r="B78" s="7"/>
      <c r="C78" s="8"/>
      <c r="D78" s="22"/>
      <c r="E78" s="7"/>
      <c r="F78" s="25"/>
      <c r="G78" s="9"/>
      <c r="H78" s="9"/>
      <c r="I78" s="13"/>
      <c r="J78" s="2"/>
    </row>
    <row r="79" spans="1:10" s="3" customFormat="1" x14ac:dyDescent="0.25">
      <c r="A79" s="7"/>
      <c r="B79" s="7"/>
      <c r="C79" s="8"/>
      <c r="D79" s="22"/>
      <c r="E79" s="7"/>
      <c r="F79" s="25"/>
      <c r="G79" s="9"/>
      <c r="H79" s="9"/>
      <c r="I79" s="13"/>
      <c r="J79" s="2"/>
    </row>
    <row r="80" spans="1:10" s="3" customFormat="1" x14ac:dyDescent="0.25">
      <c r="A80" s="7"/>
      <c r="B80" s="7"/>
      <c r="C80" s="8"/>
      <c r="D80" s="22"/>
      <c r="E80" s="7"/>
      <c r="F80" s="25"/>
      <c r="G80" s="9"/>
      <c r="H80" s="9"/>
      <c r="I80" s="13"/>
      <c r="J80" s="2"/>
    </row>
    <row r="81" spans="1:10" s="3" customFormat="1" x14ac:dyDescent="0.25">
      <c r="A81" s="7"/>
      <c r="B81" s="7"/>
      <c r="C81" s="8"/>
      <c r="D81" s="22"/>
      <c r="E81" s="7"/>
      <c r="F81" s="25"/>
      <c r="G81" s="9"/>
      <c r="H81" s="9"/>
      <c r="I81" s="13"/>
      <c r="J81" s="2"/>
    </row>
    <row r="82" spans="1:10" s="3" customFormat="1" x14ac:dyDescent="0.25">
      <c r="A82" s="7"/>
      <c r="B82" s="7"/>
      <c r="C82" s="8"/>
      <c r="D82" s="22"/>
      <c r="E82" s="7"/>
      <c r="F82" s="25"/>
      <c r="G82" s="9"/>
      <c r="H82" s="9"/>
      <c r="I82" s="13"/>
      <c r="J82" s="2"/>
    </row>
    <row r="83" spans="1:10" s="3" customFormat="1" x14ac:dyDescent="0.25">
      <c r="A83" s="7"/>
      <c r="B83" s="7"/>
      <c r="C83" s="8"/>
      <c r="D83" s="22"/>
      <c r="E83" s="7"/>
      <c r="F83" s="25"/>
      <c r="G83" s="9"/>
      <c r="H83" s="9"/>
      <c r="I83" s="13"/>
      <c r="J83" s="2"/>
    </row>
    <row r="84" spans="1:10" s="3" customFormat="1" x14ac:dyDescent="0.25">
      <c r="A84" s="7"/>
      <c r="B84" s="7"/>
      <c r="C84" s="8"/>
      <c r="D84" s="22"/>
      <c r="E84" s="7"/>
      <c r="F84" s="25"/>
      <c r="G84" s="9"/>
      <c r="H84" s="9"/>
      <c r="I84" s="13"/>
      <c r="J84" s="2"/>
    </row>
    <row r="85" spans="1:10" s="3" customFormat="1" x14ac:dyDescent="0.25">
      <c r="A85" s="7"/>
      <c r="B85" s="7"/>
      <c r="C85" s="8"/>
      <c r="D85" s="22"/>
      <c r="E85" s="7"/>
      <c r="F85" s="25"/>
      <c r="G85" s="9"/>
      <c r="H85" s="9"/>
      <c r="I85" s="13"/>
      <c r="J85" s="2"/>
    </row>
    <row r="86" spans="1:10" s="3" customFormat="1" x14ac:dyDescent="0.25">
      <c r="A86" s="7"/>
      <c r="B86" s="7"/>
      <c r="C86" s="8"/>
      <c r="D86" s="22"/>
      <c r="E86" s="7"/>
      <c r="F86" s="25"/>
      <c r="G86" s="9"/>
      <c r="H86" s="9"/>
      <c r="I86" s="13"/>
      <c r="J86" s="2"/>
    </row>
    <row r="87" spans="1:10" s="3" customFormat="1" x14ac:dyDescent="0.25">
      <c r="A87" s="7"/>
      <c r="B87" s="7"/>
      <c r="C87" s="8"/>
      <c r="D87" s="22"/>
      <c r="E87" s="7"/>
      <c r="F87" s="25"/>
      <c r="G87" s="9"/>
      <c r="H87" s="9"/>
      <c r="I87" s="13"/>
      <c r="J87" s="2"/>
    </row>
    <row r="88" spans="1:10" s="3" customFormat="1" x14ac:dyDescent="0.25">
      <c r="A88" s="7"/>
      <c r="B88" s="7"/>
      <c r="C88" s="8"/>
      <c r="D88" s="22"/>
      <c r="E88" s="7"/>
      <c r="F88" s="25"/>
      <c r="G88" s="9"/>
      <c r="H88" s="9"/>
      <c r="I88" s="13"/>
      <c r="J88" s="2"/>
    </row>
    <row r="89" spans="1:10" s="3" customFormat="1" x14ac:dyDescent="0.25">
      <c r="A89" s="7"/>
      <c r="B89" s="7"/>
      <c r="C89" s="8"/>
      <c r="D89" s="22"/>
      <c r="E89" s="7"/>
      <c r="F89" s="25"/>
      <c r="G89" s="9"/>
      <c r="H89" s="9"/>
      <c r="I89" s="13"/>
      <c r="J89" s="2"/>
    </row>
    <row r="90" spans="1:10" s="3" customFormat="1" x14ac:dyDescent="0.25">
      <c r="A90" s="7"/>
      <c r="B90" s="7"/>
      <c r="C90" s="8"/>
      <c r="D90" s="22"/>
      <c r="E90" s="7"/>
      <c r="F90" s="25"/>
      <c r="G90" s="9"/>
      <c r="H90" s="9"/>
      <c r="I90" s="13"/>
      <c r="J90" s="2"/>
    </row>
    <row r="91" spans="1:10" s="3" customFormat="1" x14ac:dyDescent="0.25">
      <c r="A91" s="7"/>
      <c r="B91" s="7"/>
      <c r="C91" s="8"/>
      <c r="D91" s="22"/>
      <c r="E91" s="7"/>
      <c r="F91" s="25"/>
      <c r="G91" s="9"/>
      <c r="H91" s="9"/>
      <c r="I91" s="13"/>
      <c r="J91" s="2"/>
    </row>
    <row r="92" spans="1:10" s="3" customFormat="1" x14ac:dyDescent="0.25">
      <c r="A92" s="7"/>
      <c r="B92" s="7"/>
      <c r="C92" s="8"/>
      <c r="D92" s="22"/>
      <c r="E92" s="7"/>
      <c r="F92" s="25"/>
      <c r="G92" s="9"/>
      <c r="H92" s="9"/>
      <c r="I92" s="13"/>
      <c r="J92" s="2"/>
    </row>
    <row r="93" spans="1:10" s="3" customFormat="1" x14ac:dyDescent="0.25">
      <c r="A93" s="7"/>
      <c r="B93" s="7"/>
      <c r="C93" s="8"/>
      <c r="D93" s="22"/>
      <c r="E93" s="7"/>
      <c r="F93" s="25"/>
      <c r="G93" s="9"/>
      <c r="H93" s="9"/>
      <c r="I93" s="13"/>
      <c r="J93" s="2"/>
    </row>
    <row r="94" spans="1:10" s="3" customFormat="1" x14ac:dyDescent="0.25">
      <c r="A94" s="7"/>
      <c r="B94" s="7"/>
      <c r="C94" s="8"/>
      <c r="D94" s="22"/>
      <c r="E94" s="7"/>
      <c r="F94" s="25"/>
      <c r="G94" s="9"/>
      <c r="H94" s="9"/>
      <c r="I94" s="13"/>
      <c r="J94" s="2"/>
    </row>
    <row r="95" spans="1:10" s="3" customFormat="1" x14ac:dyDescent="0.25">
      <c r="A95" s="7"/>
      <c r="B95" s="7"/>
      <c r="C95" s="8"/>
      <c r="D95" s="22"/>
      <c r="E95" s="7"/>
      <c r="F95" s="25"/>
      <c r="G95" s="9"/>
      <c r="H95" s="9"/>
      <c r="I95" s="13"/>
      <c r="J95" s="2"/>
    </row>
    <row r="96" spans="1:10" s="3" customFormat="1" x14ac:dyDescent="0.25">
      <c r="A96" s="7"/>
      <c r="B96" s="7"/>
      <c r="C96" s="8"/>
      <c r="D96" s="22"/>
      <c r="E96" s="7"/>
      <c r="F96" s="25"/>
      <c r="G96" s="9"/>
      <c r="H96" s="9"/>
      <c r="I96" s="13"/>
      <c r="J96" s="2"/>
    </row>
    <row r="97" spans="1:10" s="3" customFormat="1" x14ac:dyDescent="0.25">
      <c r="A97" s="7"/>
      <c r="B97" s="7"/>
      <c r="C97" s="8"/>
      <c r="D97" s="22"/>
      <c r="E97" s="7"/>
      <c r="F97" s="25"/>
      <c r="G97" s="9"/>
      <c r="H97" s="9"/>
      <c r="I97" s="13"/>
      <c r="J97" s="2"/>
    </row>
    <row r="98" spans="1:10" s="3" customFormat="1" x14ac:dyDescent="0.25">
      <c r="A98" s="7"/>
      <c r="B98" s="7"/>
      <c r="C98" s="8"/>
      <c r="D98" s="22"/>
      <c r="E98" s="7"/>
      <c r="F98" s="25"/>
      <c r="G98" s="9"/>
      <c r="H98" s="9"/>
      <c r="I98" s="13"/>
      <c r="J98" s="2"/>
    </row>
    <row r="99" spans="1:10" s="3" customFormat="1" x14ac:dyDescent="0.25">
      <c r="A99" s="7"/>
      <c r="B99" s="7"/>
      <c r="C99" s="8"/>
      <c r="D99" s="22"/>
      <c r="E99" s="7"/>
      <c r="F99" s="25"/>
      <c r="G99" s="9"/>
      <c r="H99" s="9"/>
      <c r="I99" s="13"/>
      <c r="J99" s="2"/>
    </row>
    <row r="100" spans="1:10" s="3" customFormat="1" x14ac:dyDescent="0.25">
      <c r="A100" s="7"/>
      <c r="B100" s="7"/>
      <c r="C100" s="8"/>
      <c r="D100" s="22"/>
      <c r="E100" s="7"/>
      <c r="F100" s="25"/>
      <c r="G100" s="9"/>
      <c r="H100" s="9"/>
      <c r="I100" s="13"/>
      <c r="J100" s="2"/>
    </row>
  </sheetData>
  <sheetProtection sheet="1" objects="1" scenarios="1"/>
  <sortState ref="C22:C33">
    <sortCondition descending="1" ref="C22"/>
  </sortState>
  <mergeCells count="10">
    <mergeCell ref="C3:E4"/>
    <mergeCell ref="D6:E6"/>
    <mergeCell ref="D7:E7"/>
    <mergeCell ref="D8:E8"/>
    <mergeCell ref="D9:E9"/>
    <mergeCell ref="D12:E12"/>
    <mergeCell ref="D11:E11"/>
    <mergeCell ref="D13:E13"/>
    <mergeCell ref="D14:E14"/>
    <mergeCell ref="D15:E15"/>
  </mergeCells>
  <conditionalFormatting sqref="D27:F39 D18:D26 F18:F26">
    <cfRule type="cellIs" dxfId="12" priority="1" operator="equal">
      <formula>"Not Enough Data"</formula>
    </cfRule>
    <cfRule type="cellIs" dxfId="11" priority="2" operator="equal">
      <formula>"Excellent"</formula>
    </cfRule>
    <cfRule type="cellIs" dxfId="10" priority="3" operator="equal">
      <formula>"Good"</formula>
    </cfRule>
    <cfRule type="cellIs" dxfId="9" priority="4" operator="equal">
      <formula>"Sufficient"</formula>
    </cfRule>
    <cfRule type="cellIs" dxfId="8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95250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41"/>
  <sheetViews>
    <sheetView workbookViewId="0">
      <pane ySplit="1" topLeftCell="A2" activePane="bottomLeft" state="frozen"/>
      <selection pane="bottomLeft" activeCell="D11" sqref="D11"/>
    </sheetView>
  </sheetViews>
  <sheetFormatPr defaultColWidth="8.85546875" defaultRowHeight="15" x14ac:dyDescent="0.25"/>
  <cols>
    <col min="1" max="1" width="29.28515625" style="48" bestFit="1" customWidth="1"/>
    <col min="2" max="2" width="12" style="46" bestFit="1" customWidth="1"/>
    <col min="3" max="4" width="8.85546875" style="42"/>
    <col min="5" max="5" width="15.85546875" style="42" bestFit="1" customWidth="1"/>
    <col min="6" max="6" width="8.85546875" style="42"/>
    <col min="7" max="7" width="15" style="42" bestFit="1" customWidth="1"/>
    <col min="8" max="16384" width="8.85546875" style="42"/>
  </cols>
  <sheetData>
    <row r="1" spans="1:7" s="1" customFormat="1" x14ac:dyDescent="0.25">
      <c r="A1" s="50" t="s">
        <v>0</v>
      </c>
      <c r="B1" s="41" t="s">
        <v>1</v>
      </c>
    </row>
    <row r="2" spans="1:7" x14ac:dyDescent="0.25">
      <c r="A2" s="54">
        <v>45615</v>
      </c>
      <c r="B2">
        <v>1</v>
      </c>
      <c r="E2" s="43"/>
      <c r="F2" s="44"/>
      <c r="G2" s="45"/>
    </row>
    <row r="3" spans="1:7" x14ac:dyDescent="0.25">
      <c r="A3" s="54">
        <v>45622</v>
      </c>
      <c r="B3">
        <v>1</v>
      </c>
      <c r="E3" s="43"/>
      <c r="F3" s="44"/>
      <c r="G3" s="45"/>
    </row>
    <row r="4" spans="1:7" x14ac:dyDescent="0.25">
      <c r="A4" s="54">
        <v>45629</v>
      </c>
      <c r="B4">
        <v>1</v>
      </c>
      <c r="E4" s="43"/>
      <c r="F4" s="44"/>
      <c r="G4" s="45"/>
    </row>
    <row r="5" spans="1:7" x14ac:dyDescent="0.25">
      <c r="A5" s="54">
        <v>45636</v>
      </c>
      <c r="B5">
        <v>1</v>
      </c>
      <c r="E5" s="43"/>
      <c r="F5" s="44"/>
      <c r="G5" s="45"/>
    </row>
    <row r="6" spans="1:7" x14ac:dyDescent="0.25">
      <c r="A6" s="54">
        <v>45644</v>
      </c>
      <c r="B6">
        <v>1</v>
      </c>
      <c r="E6" s="43"/>
      <c r="F6" s="44"/>
      <c r="G6" s="45"/>
    </row>
    <row r="7" spans="1:7" x14ac:dyDescent="0.25">
      <c r="A7" s="54">
        <v>45649</v>
      </c>
      <c r="B7">
        <v>1</v>
      </c>
      <c r="E7" s="43"/>
      <c r="F7" s="44"/>
      <c r="G7" s="45"/>
    </row>
    <row r="8" spans="1:7" x14ac:dyDescent="0.25">
      <c r="A8" s="54">
        <v>45657</v>
      </c>
      <c r="B8">
        <v>1</v>
      </c>
      <c r="E8" s="43"/>
      <c r="F8" s="44"/>
      <c r="G8" s="45"/>
    </row>
    <row r="9" spans="1:7" x14ac:dyDescent="0.25">
      <c r="A9" s="54">
        <v>45664</v>
      </c>
      <c r="B9">
        <v>1</v>
      </c>
      <c r="E9" s="43"/>
      <c r="F9" s="44"/>
      <c r="G9" s="45"/>
    </row>
    <row r="10" spans="1:7" x14ac:dyDescent="0.25">
      <c r="A10" s="54">
        <v>45671</v>
      </c>
      <c r="B10">
        <v>1</v>
      </c>
      <c r="E10" s="43"/>
      <c r="F10" s="44"/>
      <c r="G10" s="45"/>
    </row>
    <row r="11" spans="1:7" x14ac:dyDescent="0.25">
      <c r="A11" s="54">
        <v>45678</v>
      </c>
      <c r="B11">
        <v>1</v>
      </c>
      <c r="E11" s="43"/>
      <c r="F11" s="44"/>
      <c r="G11" s="45"/>
    </row>
    <row r="12" spans="1:7" x14ac:dyDescent="0.25">
      <c r="A12"/>
      <c r="B12"/>
      <c r="E12" s="43"/>
      <c r="F12" s="44"/>
      <c r="G12" s="45"/>
    </row>
    <row r="13" spans="1:7" x14ac:dyDescent="0.25">
      <c r="A13"/>
      <c r="B13"/>
      <c r="E13" s="43"/>
      <c r="F13" s="44"/>
      <c r="G13" s="45"/>
    </row>
    <row r="14" spans="1:7" x14ac:dyDescent="0.25">
      <c r="A14"/>
      <c r="B14"/>
      <c r="E14" s="43"/>
      <c r="F14" s="44"/>
      <c r="G14" s="45"/>
    </row>
    <row r="15" spans="1:7" x14ac:dyDescent="0.25">
      <c r="A15"/>
      <c r="B15"/>
      <c r="E15" s="43"/>
      <c r="F15" s="44"/>
      <c r="G15" s="45"/>
    </row>
    <row r="16" spans="1:7" x14ac:dyDescent="0.25">
      <c r="A16"/>
      <c r="B16"/>
      <c r="E16" s="43"/>
      <c r="F16" s="44"/>
      <c r="G16" s="45"/>
    </row>
    <row r="17" spans="1:7" x14ac:dyDescent="0.25">
      <c r="A17"/>
      <c r="B17"/>
      <c r="E17" s="43"/>
      <c r="F17" s="44"/>
      <c r="G17" s="45"/>
    </row>
    <row r="18" spans="1:7" x14ac:dyDescent="0.25">
      <c r="A18"/>
      <c r="B18"/>
      <c r="E18" s="43"/>
      <c r="F18" s="44"/>
      <c r="G18" s="45"/>
    </row>
    <row r="19" spans="1:7" x14ac:dyDescent="0.25">
      <c r="A19"/>
      <c r="B19"/>
      <c r="E19" s="43"/>
      <c r="F19" s="44"/>
      <c r="G19" s="45"/>
    </row>
    <row r="20" spans="1:7" x14ac:dyDescent="0.25">
      <c r="A20"/>
      <c r="B20"/>
      <c r="E20" s="43"/>
      <c r="F20" s="44"/>
      <c r="G20" s="45"/>
    </row>
    <row r="21" spans="1:7" x14ac:dyDescent="0.25">
      <c r="A21"/>
      <c r="B21"/>
      <c r="E21" s="43"/>
      <c r="F21" s="44"/>
      <c r="G21" s="45"/>
    </row>
    <row r="22" spans="1:7" x14ac:dyDescent="0.25">
      <c r="A22"/>
      <c r="B22"/>
      <c r="E22" s="43"/>
      <c r="F22" s="44"/>
      <c r="G22" s="45"/>
    </row>
    <row r="23" spans="1:7" x14ac:dyDescent="0.25">
      <c r="A23"/>
      <c r="B23"/>
      <c r="E23" s="43"/>
      <c r="F23" s="44"/>
      <c r="G23" s="45"/>
    </row>
    <row r="24" spans="1:7" x14ac:dyDescent="0.25">
      <c r="A24"/>
      <c r="B24"/>
      <c r="E24" s="43"/>
      <c r="F24" s="44"/>
      <c r="G24" s="45"/>
    </row>
    <row r="25" spans="1:7" x14ac:dyDescent="0.25">
      <c r="A25"/>
      <c r="B25"/>
      <c r="E25" s="43"/>
      <c r="F25" s="44"/>
      <c r="G25" s="45"/>
    </row>
    <row r="26" spans="1:7" x14ac:dyDescent="0.25">
      <c r="A26"/>
      <c r="B26"/>
      <c r="E26" s="43"/>
      <c r="F26" s="44"/>
      <c r="G26" s="45"/>
    </row>
    <row r="27" spans="1:7" x14ac:dyDescent="0.25">
      <c r="A27"/>
      <c r="B27"/>
      <c r="E27" s="43"/>
      <c r="F27" s="44"/>
      <c r="G27" s="45"/>
    </row>
    <row r="28" spans="1:7" x14ac:dyDescent="0.25">
      <c r="A28"/>
      <c r="B28"/>
      <c r="E28" s="43"/>
      <c r="F28" s="44"/>
      <c r="G28" s="45"/>
    </row>
    <row r="29" spans="1:7" x14ac:dyDescent="0.25">
      <c r="A29"/>
      <c r="B29"/>
      <c r="E29" s="43"/>
      <c r="F29" s="44"/>
      <c r="G29" s="45"/>
    </row>
    <row r="30" spans="1:7" x14ac:dyDescent="0.25">
      <c r="A30"/>
      <c r="B30"/>
      <c r="E30" s="43"/>
      <c r="F30" s="44"/>
      <c r="G30" s="45"/>
    </row>
    <row r="31" spans="1:7" x14ac:dyDescent="0.25">
      <c r="A31"/>
      <c r="B31"/>
      <c r="E31" s="43"/>
      <c r="F31" s="44"/>
      <c r="G31" s="45"/>
    </row>
    <row r="32" spans="1:7" x14ac:dyDescent="0.25">
      <c r="A32"/>
      <c r="B32"/>
      <c r="E32" s="43"/>
      <c r="F32" s="44"/>
      <c r="G32" s="45"/>
    </row>
    <row r="33" spans="1:7" x14ac:dyDescent="0.25">
      <c r="A33"/>
      <c r="B33"/>
      <c r="E33" s="43"/>
      <c r="F33" s="44"/>
      <c r="G33" s="45"/>
    </row>
    <row r="34" spans="1:7" x14ac:dyDescent="0.25">
      <c r="A34"/>
      <c r="B34"/>
      <c r="E34" s="43"/>
      <c r="F34" s="44"/>
      <c r="G34" s="45"/>
    </row>
    <row r="35" spans="1:7" x14ac:dyDescent="0.25">
      <c r="A35"/>
      <c r="B35"/>
      <c r="E35" s="43"/>
      <c r="F35" s="44"/>
      <c r="G35" s="45"/>
    </row>
    <row r="36" spans="1:7" x14ac:dyDescent="0.25">
      <c r="A36"/>
      <c r="B36"/>
      <c r="E36" s="43"/>
      <c r="F36" s="44"/>
      <c r="G36" s="45"/>
    </row>
    <row r="37" spans="1:7" x14ac:dyDescent="0.25">
      <c r="A37"/>
      <c r="B37"/>
      <c r="E37" s="43"/>
      <c r="F37" s="44"/>
      <c r="G37" s="45"/>
    </row>
    <row r="38" spans="1:7" x14ac:dyDescent="0.25">
      <c r="A38"/>
      <c r="B38"/>
      <c r="E38" s="43"/>
      <c r="F38" s="44"/>
      <c r="G38" s="45"/>
    </row>
    <row r="39" spans="1:7" x14ac:dyDescent="0.25">
      <c r="A39"/>
      <c r="B39"/>
      <c r="E39" s="43"/>
      <c r="F39" s="44"/>
      <c r="G39" s="45"/>
    </row>
    <row r="40" spans="1:7" x14ac:dyDescent="0.25">
      <c r="A40"/>
      <c r="B40"/>
      <c r="E40" s="43"/>
      <c r="F40" s="44"/>
      <c r="G40" s="45"/>
    </row>
    <row r="41" spans="1:7" x14ac:dyDescent="0.25">
      <c r="A41"/>
      <c r="B41"/>
      <c r="E41" s="43"/>
      <c r="F41" s="44"/>
      <c r="G41" s="45"/>
    </row>
    <row r="42" spans="1:7" x14ac:dyDescent="0.25">
      <c r="A42"/>
      <c r="B42"/>
      <c r="E42" s="43"/>
      <c r="F42" s="44"/>
      <c r="G42" s="45"/>
    </row>
    <row r="43" spans="1:7" x14ac:dyDescent="0.25">
      <c r="A43"/>
      <c r="B43"/>
      <c r="E43" s="43"/>
      <c r="F43" s="44"/>
      <c r="G43" s="45"/>
    </row>
    <row r="44" spans="1:7" x14ac:dyDescent="0.25">
      <c r="A44"/>
      <c r="B44"/>
      <c r="E44" s="43"/>
      <c r="F44" s="44"/>
      <c r="G44" s="45"/>
    </row>
    <row r="45" spans="1:7" x14ac:dyDescent="0.25">
      <c r="A45"/>
      <c r="B45"/>
      <c r="E45" s="43"/>
      <c r="F45" s="44"/>
      <c r="G45" s="45"/>
    </row>
    <row r="46" spans="1:7" x14ac:dyDescent="0.25">
      <c r="A46"/>
      <c r="B46"/>
      <c r="E46" s="43"/>
      <c r="F46" s="44"/>
      <c r="G46" s="45"/>
    </row>
    <row r="47" spans="1:7" x14ac:dyDescent="0.25">
      <c r="A47"/>
      <c r="B47"/>
      <c r="E47" s="43"/>
      <c r="F47" s="44"/>
      <c r="G47" s="45"/>
    </row>
    <row r="48" spans="1:7" x14ac:dyDescent="0.25">
      <c r="A48"/>
      <c r="B48"/>
      <c r="E48" s="43"/>
      <c r="F48" s="44"/>
      <c r="G48" s="45"/>
    </row>
    <row r="49" spans="1:7" x14ac:dyDescent="0.25">
      <c r="A49"/>
      <c r="B49"/>
      <c r="E49" s="43"/>
      <c r="F49" s="44"/>
      <c r="G49" s="45"/>
    </row>
    <row r="50" spans="1:7" x14ac:dyDescent="0.25">
      <c r="A50"/>
      <c r="B50"/>
      <c r="E50" s="43"/>
      <c r="F50" s="44"/>
      <c r="G50" s="45"/>
    </row>
    <row r="51" spans="1:7" x14ac:dyDescent="0.25">
      <c r="A51"/>
      <c r="B51"/>
      <c r="E51" s="43"/>
      <c r="F51" s="44"/>
      <c r="G51" s="45"/>
    </row>
    <row r="52" spans="1:7" x14ac:dyDescent="0.25">
      <c r="A52"/>
      <c r="B52"/>
      <c r="E52" s="43"/>
      <c r="F52" s="44"/>
      <c r="G52" s="45"/>
    </row>
    <row r="53" spans="1:7" x14ac:dyDescent="0.25">
      <c r="A53"/>
      <c r="B53"/>
      <c r="E53" s="43"/>
      <c r="F53" s="44"/>
      <c r="G53" s="45"/>
    </row>
    <row r="54" spans="1:7" x14ac:dyDescent="0.25">
      <c r="A54"/>
      <c r="B54"/>
      <c r="E54" s="43"/>
      <c r="F54" s="44"/>
      <c r="G54" s="45"/>
    </row>
    <row r="55" spans="1:7" x14ac:dyDescent="0.25">
      <c r="A55"/>
      <c r="B55"/>
      <c r="E55" s="43"/>
      <c r="F55" s="44"/>
      <c r="G55" s="45"/>
    </row>
    <row r="56" spans="1:7" x14ac:dyDescent="0.25">
      <c r="A56"/>
      <c r="B56"/>
      <c r="E56" s="43"/>
      <c r="F56" s="44"/>
      <c r="G56" s="45"/>
    </row>
    <row r="57" spans="1:7" x14ac:dyDescent="0.25">
      <c r="A57"/>
      <c r="B57"/>
      <c r="E57" s="43"/>
      <c r="F57" s="44"/>
      <c r="G57" s="45"/>
    </row>
    <row r="58" spans="1:7" x14ac:dyDescent="0.25">
      <c r="A58"/>
      <c r="B58"/>
      <c r="E58" s="43"/>
      <c r="F58" s="44"/>
      <c r="G58" s="45"/>
    </row>
    <row r="59" spans="1:7" x14ac:dyDescent="0.25">
      <c r="A59"/>
      <c r="B59"/>
      <c r="E59" s="43"/>
      <c r="F59" s="44"/>
      <c r="G59" s="45"/>
    </row>
    <row r="60" spans="1:7" x14ac:dyDescent="0.25">
      <c r="A60"/>
      <c r="B60"/>
      <c r="E60" s="43"/>
      <c r="F60" s="44"/>
      <c r="G60" s="45"/>
    </row>
    <row r="61" spans="1:7" x14ac:dyDescent="0.25">
      <c r="A61"/>
      <c r="B61"/>
      <c r="E61" s="43"/>
      <c r="F61" s="44"/>
      <c r="G61" s="45"/>
    </row>
    <row r="62" spans="1:7" x14ac:dyDescent="0.25">
      <c r="A62"/>
      <c r="B62"/>
      <c r="E62" s="43"/>
      <c r="F62" s="44"/>
      <c r="G62" s="45"/>
    </row>
    <row r="63" spans="1:7" x14ac:dyDescent="0.25">
      <c r="A63"/>
      <c r="B63"/>
      <c r="E63" s="43"/>
      <c r="F63" s="44"/>
      <c r="G63" s="45"/>
    </row>
    <row r="64" spans="1:7" x14ac:dyDescent="0.25">
      <c r="A64"/>
      <c r="B64"/>
      <c r="E64" s="43"/>
      <c r="F64" s="44"/>
      <c r="G64" s="45"/>
    </row>
    <row r="65" spans="1:7" x14ac:dyDescent="0.25">
      <c r="A65"/>
      <c r="B65"/>
      <c r="E65" s="43"/>
      <c r="F65" s="44"/>
      <c r="G65" s="45"/>
    </row>
    <row r="66" spans="1:7" x14ac:dyDescent="0.25">
      <c r="A66"/>
      <c r="B66"/>
      <c r="E66" s="43"/>
      <c r="F66" s="44"/>
      <c r="G66" s="45"/>
    </row>
    <row r="67" spans="1:7" x14ac:dyDescent="0.25">
      <c r="A67"/>
      <c r="B67"/>
      <c r="E67" s="43"/>
      <c r="F67" s="44"/>
      <c r="G67" s="45"/>
    </row>
    <row r="68" spans="1:7" x14ac:dyDescent="0.25">
      <c r="A68"/>
      <c r="B68"/>
      <c r="E68" s="43"/>
      <c r="F68" s="44"/>
      <c r="G68" s="45"/>
    </row>
    <row r="69" spans="1:7" x14ac:dyDescent="0.25">
      <c r="A69"/>
      <c r="B69"/>
      <c r="E69" s="43"/>
      <c r="F69" s="44"/>
      <c r="G69" s="45"/>
    </row>
    <row r="70" spans="1:7" x14ac:dyDescent="0.25">
      <c r="A70"/>
      <c r="B70"/>
      <c r="E70" s="43"/>
      <c r="F70" s="44"/>
      <c r="G70" s="45"/>
    </row>
    <row r="71" spans="1:7" x14ac:dyDescent="0.25">
      <c r="A71"/>
      <c r="B71"/>
      <c r="E71" s="43"/>
      <c r="F71" s="44"/>
      <c r="G71" s="45"/>
    </row>
    <row r="72" spans="1:7" x14ac:dyDescent="0.25">
      <c r="A72"/>
      <c r="B72"/>
      <c r="E72" s="43"/>
      <c r="F72" s="44"/>
      <c r="G72" s="45"/>
    </row>
    <row r="73" spans="1:7" x14ac:dyDescent="0.25">
      <c r="A73"/>
      <c r="B73"/>
      <c r="E73" s="43"/>
      <c r="F73" s="44"/>
      <c r="G73" s="45"/>
    </row>
    <row r="74" spans="1:7" x14ac:dyDescent="0.25">
      <c r="A74"/>
      <c r="B74"/>
      <c r="E74" s="43"/>
      <c r="F74" s="44"/>
      <c r="G74" s="45"/>
    </row>
    <row r="75" spans="1:7" x14ac:dyDescent="0.25">
      <c r="A75"/>
      <c r="B75"/>
      <c r="E75" s="43"/>
      <c r="F75" s="44"/>
      <c r="G75" s="45"/>
    </row>
    <row r="76" spans="1:7" x14ac:dyDescent="0.25">
      <c r="A76"/>
      <c r="B76"/>
      <c r="E76" s="43"/>
      <c r="F76" s="44"/>
      <c r="G76" s="45"/>
    </row>
    <row r="77" spans="1:7" x14ac:dyDescent="0.25">
      <c r="A77"/>
      <c r="B77"/>
      <c r="E77" s="43"/>
      <c r="F77" s="44"/>
      <c r="G77" s="45"/>
    </row>
    <row r="78" spans="1:7" x14ac:dyDescent="0.25">
      <c r="A78"/>
      <c r="B78"/>
      <c r="E78" s="43"/>
      <c r="F78" s="44"/>
      <c r="G78" s="45"/>
    </row>
    <row r="79" spans="1:7" x14ac:dyDescent="0.25">
      <c r="A79"/>
      <c r="B79"/>
      <c r="E79" s="43"/>
      <c r="F79" s="44"/>
      <c r="G79" s="45"/>
    </row>
    <row r="80" spans="1:7" x14ac:dyDescent="0.25">
      <c r="A80"/>
      <c r="B80"/>
      <c r="E80" s="43"/>
      <c r="F80" s="44"/>
      <c r="G80" s="45"/>
    </row>
    <row r="81" spans="1:7" x14ac:dyDescent="0.25">
      <c r="A81"/>
      <c r="B81"/>
      <c r="E81" s="43"/>
      <c r="F81" s="44"/>
      <c r="G81" s="45"/>
    </row>
    <row r="82" spans="1:7" x14ac:dyDescent="0.25">
      <c r="A82"/>
      <c r="B82"/>
      <c r="E82" s="43"/>
      <c r="F82" s="44"/>
      <c r="G82" s="45"/>
    </row>
    <row r="83" spans="1:7" x14ac:dyDescent="0.25">
      <c r="A83"/>
      <c r="B83"/>
      <c r="E83" s="43"/>
      <c r="F83" s="44"/>
      <c r="G83" s="45"/>
    </row>
    <row r="84" spans="1:7" x14ac:dyDescent="0.25">
      <c r="A84"/>
      <c r="B84"/>
      <c r="E84" s="43"/>
      <c r="F84" s="44"/>
      <c r="G84" s="45"/>
    </row>
    <row r="85" spans="1:7" x14ac:dyDescent="0.25">
      <c r="A85"/>
      <c r="B85"/>
      <c r="E85" s="43"/>
      <c r="F85" s="44"/>
      <c r="G85" s="45"/>
    </row>
    <row r="86" spans="1:7" x14ac:dyDescent="0.25">
      <c r="A86"/>
      <c r="B86"/>
      <c r="E86" s="43"/>
      <c r="F86" s="44"/>
      <c r="G86" s="45"/>
    </row>
    <row r="87" spans="1:7" x14ac:dyDescent="0.25">
      <c r="A87"/>
      <c r="B87"/>
      <c r="E87" s="43"/>
      <c r="F87" s="44"/>
      <c r="G87" s="45"/>
    </row>
    <row r="88" spans="1:7" x14ac:dyDescent="0.25">
      <c r="A88"/>
      <c r="B88"/>
      <c r="E88" s="43"/>
      <c r="F88" s="44"/>
      <c r="G88" s="45"/>
    </row>
    <row r="89" spans="1:7" x14ac:dyDescent="0.25">
      <c r="A89"/>
      <c r="B89"/>
      <c r="E89" s="43"/>
      <c r="F89" s="44"/>
      <c r="G89" s="45"/>
    </row>
    <row r="90" spans="1:7" x14ac:dyDescent="0.25">
      <c r="A90"/>
      <c r="B90"/>
      <c r="E90" s="43"/>
      <c r="F90" s="44"/>
      <c r="G90" s="45"/>
    </row>
    <row r="91" spans="1:7" x14ac:dyDescent="0.25">
      <c r="A91"/>
      <c r="B91"/>
      <c r="E91" s="43"/>
      <c r="F91" s="44"/>
      <c r="G91" s="45"/>
    </row>
    <row r="92" spans="1:7" x14ac:dyDescent="0.25">
      <c r="A92"/>
      <c r="B92"/>
      <c r="E92" s="43"/>
      <c r="F92" s="44"/>
      <c r="G92" s="45"/>
    </row>
    <row r="93" spans="1:7" x14ac:dyDescent="0.25">
      <c r="A93"/>
      <c r="B93"/>
      <c r="E93" s="43"/>
      <c r="F93" s="44"/>
      <c r="G93" s="45"/>
    </row>
    <row r="94" spans="1:7" x14ac:dyDescent="0.25">
      <c r="A94"/>
      <c r="B94"/>
      <c r="E94" s="43"/>
      <c r="F94" s="44"/>
      <c r="G94" s="45"/>
    </row>
    <row r="95" spans="1:7" x14ac:dyDescent="0.25">
      <c r="A95"/>
      <c r="B95"/>
      <c r="E95" s="43"/>
      <c r="F95" s="44"/>
      <c r="G95" s="45"/>
    </row>
    <row r="96" spans="1:7" x14ac:dyDescent="0.25">
      <c r="A96"/>
      <c r="B96"/>
      <c r="E96" s="43"/>
      <c r="F96" s="44"/>
      <c r="G96" s="45"/>
    </row>
    <row r="97" spans="1:7" x14ac:dyDescent="0.25">
      <c r="A97"/>
      <c r="B97"/>
      <c r="E97" s="43"/>
      <c r="F97" s="44"/>
      <c r="G97" s="45"/>
    </row>
    <row r="98" spans="1:7" x14ac:dyDescent="0.25">
      <c r="A98"/>
      <c r="B98"/>
      <c r="E98" s="43"/>
      <c r="F98" s="44"/>
      <c r="G98" s="45"/>
    </row>
    <row r="99" spans="1:7" x14ac:dyDescent="0.25">
      <c r="A99"/>
      <c r="B99"/>
      <c r="E99" s="43"/>
      <c r="F99" s="44"/>
      <c r="G99" s="45"/>
    </row>
    <row r="100" spans="1:7" x14ac:dyDescent="0.25">
      <c r="A100"/>
      <c r="B100"/>
      <c r="E100" s="43"/>
      <c r="F100" s="44"/>
      <c r="G100" s="45"/>
    </row>
    <row r="101" spans="1:7" x14ac:dyDescent="0.25">
      <c r="A101"/>
      <c r="B101"/>
      <c r="E101" s="43"/>
      <c r="F101" s="44"/>
      <c r="G101" s="45"/>
    </row>
    <row r="102" spans="1:7" x14ac:dyDescent="0.25">
      <c r="A102"/>
      <c r="B102"/>
      <c r="E102" s="43"/>
      <c r="F102" s="44"/>
      <c r="G102" s="45"/>
    </row>
    <row r="103" spans="1:7" x14ac:dyDescent="0.25">
      <c r="A103"/>
      <c r="B103"/>
      <c r="E103" s="43"/>
      <c r="F103" s="44"/>
      <c r="G103" s="45"/>
    </row>
    <row r="104" spans="1:7" x14ac:dyDescent="0.25">
      <c r="A104"/>
      <c r="B104"/>
      <c r="E104" s="43"/>
      <c r="F104" s="44"/>
      <c r="G104" s="45"/>
    </row>
    <row r="105" spans="1:7" x14ac:dyDescent="0.25">
      <c r="A105"/>
      <c r="B105"/>
      <c r="E105" s="43"/>
      <c r="F105" s="44"/>
      <c r="G105" s="45"/>
    </row>
    <row r="106" spans="1:7" x14ac:dyDescent="0.25">
      <c r="A106"/>
      <c r="B106"/>
      <c r="E106" s="43"/>
      <c r="F106" s="44"/>
      <c r="G106" s="45"/>
    </row>
    <row r="107" spans="1:7" x14ac:dyDescent="0.25">
      <c r="A107"/>
      <c r="B107"/>
      <c r="E107" s="43"/>
      <c r="F107" s="44"/>
      <c r="G107" s="45"/>
    </row>
    <row r="108" spans="1:7" x14ac:dyDescent="0.25">
      <c r="A108"/>
      <c r="B108"/>
      <c r="E108" s="43"/>
      <c r="F108" s="44"/>
      <c r="G108" s="45"/>
    </row>
    <row r="109" spans="1:7" x14ac:dyDescent="0.25">
      <c r="A109"/>
      <c r="B109"/>
      <c r="E109" s="43"/>
      <c r="F109" s="44"/>
      <c r="G109" s="45"/>
    </row>
    <row r="110" spans="1:7" x14ac:dyDescent="0.25">
      <c r="A110"/>
      <c r="B110"/>
      <c r="E110" s="43"/>
      <c r="F110" s="44"/>
      <c r="G110" s="45"/>
    </row>
    <row r="111" spans="1:7" x14ac:dyDescent="0.25">
      <c r="A111"/>
      <c r="B111"/>
      <c r="E111" s="43"/>
      <c r="F111" s="44"/>
      <c r="G111" s="45"/>
    </row>
    <row r="112" spans="1:7" x14ac:dyDescent="0.25">
      <c r="A112"/>
      <c r="B112"/>
      <c r="E112" s="43"/>
      <c r="F112" s="44"/>
      <c r="G112" s="45"/>
    </row>
    <row r="113" spans="1:7" x14ac:dyDescent="0.25">
      <c r="A113"/>
      <c r="B113"/>
      <c r="E113" s="43"/>
      <c r="F113" s="44"/>
      <c r="G113" s="45"/>
    </row>
    <row r="114" spans="1:7" x14ac:dyDescent="0.25">
      <c r="A114"/>
      <c r="B114"/>
      <c r="E114" s="43"/>
      <c r="F114" s="44"/>
      <c r="G114" s="45"/>
    </row>
    <row r="115" spans="1:7" x14ac:dyDescent="0.25">
      <c r="A115"/>
      <c r="B115"/>
      <c r="E115" s="43"/>
      <c r="F115" s="44"/>
      <c r="G115" s="45"/>
    </row>
    <row r="116" spans="1:7" x14ac:dyDescent="0.25">
      <c r="A116"/>
      <c r="B116"/>
      <c r="E116" s="43"/>
      <c r="F116" s="44"/>
      <c r="G116" s="45"/>
    </row>
    <row r="117" spans="1:7" x14ac:dyDescent="0.25">
      <c r="A117"/>
      <c r="B117"/>
      <c r="E117" s="43"/>
      <c r="F117" s="44"/>
      <c r="G117" s="45"/>
    </row>
    <row r="118" spans="1:7" x14ac:dyDescent="0.25">
      <c r="A118"/>
      <c r="B118"/>
      <c r="E118" s="43"/>
      <c r="F118" s="44"/>
      <c r="G118" s="45"/>
    </row>
    <row r="119" spans="1:7" x14ac:dyDescent="0.25">
      <c r="A119"/>
      <c r="B119"/>
      <c r="E119" s="43"/>
      <c r="F119" s="44"/>
      <c r="G119" s="45"/>
    </row>
    <row r="120" spans="1:7" x14ac:dyDescent="0.25">
      <c r="A120"/>
      <c r="B120"/>
      <c r="E120" s="43"/>
      <c r="F120" s="44"/>
      <c r="G120" s="45"/>
    </row>
    <row r="121" spans="1:7" x14ac:dyDescent="0.25">
      <c r="A121"/>
      <c r="B121"/>
      <c r="E121" s="43"/>
      <c r="F121" s="44"/>
      <c r="G121" s="45"/>
    </row>
    <row r="122" spans="1:7" x14ac:dyDescent="0.25">
      <c r="A122"/>
      <c r="B122"/>
      <c r="E122" s="43"/>
      <c r="F122" s="44"/>
      <c r="G122" s="45"/>
    </row>
    <row r="123" spans="1:7" x14ac:dyDescent="0.25">
      <c r="A123"/>
      <c r="B123"/>
      <c r="E123" s="43"/>
      <c r="F123" s="44"/>
      <c r="G123" s="45"/>
    </row>
    <row r="124" spans="1:7" x14ac:dyDescent="0.25">
      <c r="A124"/>
      <c r="B124"/>
      <c r="E124" s="43"/>
      <c r="F124" s="44"/>
      <c r="G124" s="45"/>
    </row>
    <row r="125" spans="1:7" x14ac:dyDescent="0.25">
      <c r="A125"/>
      <c r="B125"/>
      <c r="E125" s="43"/>
      <c r="F125" s="44"/>
      <c r="G125" s="45"/>
    </row>
    <row r="126" spans="1:7" x14ac:dyDescent="0.25">
      <c r="A126"/>
      <c r="B126"/>
      <c r="E126" s="43"/>
      <c r="F126" s="44"/>
      <c r="G126" s="45"/>
    </row>
    <row r="127" spans="1:7" x14ac:dyDescent="0.25">
      <c r="A127"/>
      <c r="B127"/>
      <c r="E127" s="43"/>
      <c r="F127" s="44"/>
      <c r="G127" s="45"/>
    </row>
    <row r="128" spans="1:7" x14ac:dyDescent="0.25">
      <c r="A128"/>
      <c r="B128"/>
      <c r="E128" s="43"/>
      <c r="F128" s="44"/>
      <c r="G128" s="45"/>
    </row>
    <row r="129" spans="1:7" x14ac:dyDescent="0.25">
      <c r="A129"/>
      <c r="B129"/>
      <c r="E129" s="43"/>
      <c r="F129" s="44"/>
      <c r="G129" s="45"/>
    </row>
    <row r="130" spans="1:7" x14ac:dyDescent="0.25">
      <c r="A130"/>
      <c r="B130"/>
      <c r="E130" s="43"/>
      <c r="F130" s="44"/>
      <c r="G130" s="45"/>
    </row>
    <row r="131" spans="1:7" x14ac:dyDescent="0.25">
      <c r="A131"/>
      <c r="B131"/>
      <c r="E131" s="43"/>
      <c r="F131" s="44"/>
      <c r="G131" s="45"/>
    </row>
    <row r="132" spans="1:7" x14ac:dyDescent="0.25">
      <c r="A132"/>
      <c r="B132"/>
      <c r="E132" s="43"/>
      <c r="F132" s="44"/>
      <c r="G132" s="45"/>
    </row>
    <row r="133" spans="1:7" x14ac:dyDescent="0.25">
      <c r="A133"/>
      <c r="B133"/>
      <c r="E133" s="43"/>
      <c r="F133" s="44"/>
      <c r="G133" s="45"/>
    </row>
    <row r="134" spans="1:7" x14ac:dyDescent="0.25">
      <c r="A134"/>
      <c r="B134"/>
      <c r="E134" s="43"/>
      <c r="F134" s="44"/>
      <c r="G134" s="45"/>
    </row>
    <row r="135" spans="1:7" x14ac:dyDescent="0.25">
      <c r="A135"/>
      <c r="B135"/>
      <c r="E135" s="43"/>
      <c r="F135" s="44"/>
      <c r="G135" s="45"/>
    </row>
    <row r="136" spans="1:7" x14ac:dyDescent="0.25">
      <c r="A136"/>
      <c r="B136"/>
      <c r="E136" s="43"/>
      <c r="F136" s="44"/>
      <c r="G136" s="45"/>
    </row>
    <row r="137" spans="1:7" x14ac:dyDescent="0.25">
      <c r="A137"/>
      <c r="B137"/>
      <c r="E137" s="43"/>
      <c r="F137" s="44"/>
      <c r="G137" s="45"/>
    </row>
    <row r="138" spans="1:7" x14ac:dyDescent="0.25">
      <c r="A138"/>
      <c r="B138"/>
      <c r="E138" s="43"/>
      <c r="F138" s="44"/>
      <c r="G138" s="45"/>
    </row>
    <row r="139" spans="1:7" x14ac:dyDescent="0.25">
      <c r="A139"/>
      <c r="B139"/>
      <c r="E139" s="43"/>
      <c r="F139" s="44"/>
      <c r="G139" s="45"/>
    </row>
    <row r="140" spans="1:7" x14ac:dyDescent="0.25">
      <c r="A140"/>
      <c r="B140"/>
      <c r="E140" s="43"/>
      <c r="F140" s="44"/>
      <c r="G140" s="45"/>
    </row>
    <row r="141" spans="1:7" x14ac:dyDescent="0.25">
      <c r="A141"/>
      <c r="B141"/>
    </row>
    <row r="142" spans="1:7" x14ac:dyDescent="0.25">
      <c r="A142"/>
      <c r="B142"/>
    </row>
    <row r="143" spans="1:7" x14ac:dyDescent="0.25">
      <c r="A143"/>
      <c r="B143"/>
    </row>
    <row r="144" spans="1:7" x14ac:dyDescent="0.25">
      <c r="A144"/>
      <c r="B144"/>
    </row>
    <row r="145" spans="1:2" x14ac:dyDescent="0.25">
      <c r="A145"/>
      <c r="B145"/>
    </row>
    <row r="146" spans="1:2" x14ac:dyDescent="0.25">
      <c r="A146"/>
      <c r="B146"/>
    </row>
    <row r="147" spans="1:2" x14ac:dyDescent="0.25">
      <c r="A147"/>
      <c r="B147"/>
    </row>
    <row r="148" spans="1:2" x14ac:dyDescent="0.25">
      <c r="A148"/>
      <c r="B148"/>
    </row>
    <row r="149" spans="1:2" x14ac:dyDescent="0.25">
      <c r="A149"/>
      <c r="B149"/>
    </row>
    <row r="150" spans="1:2" x14ac:dyDescent="0.25">
      <c r="A150"/>
      <c r="B150"/>
    </row>
    <row r="151" spans="1:2" x14ac:dyDescent="0.25">
      <c r="A151"/>
      <c r="B151"/>
    </row>
    <row r="152" spans="1:2" x14ac:dyDescent="0.25">
      <c r="A152"/>
      <c r="B152"/>
    </row>
    <row r="153" spans="1:2" x14ac:dyDescent="0.25">
      <c r="A153"/>
      <c r="B153"/>
    </row>
    <row r="154" spans="1:2" x14ac:dyDescent="0.25">
      <c r="A154"/>
      <c r="B154"/>
    </row>
    <row r="155" spans="1:2" x14ac:dyDescent="0.25">
      <c r="A155"/>
      <c r="B155"/>
    </row>
    <row r="156" spans="1:2" x14ac:dyDescent="0.25">
      <c r="A156"/>
      <c r="B156"/>
    </row>
    <row r="157" spans="1:2" x14ac:dyDescent="0.25">
      <c r="A157"/>
      <c r="B157"/>
    </row>
    <row r="158" spans="1:2" x14ac:dyDescent="0.25">
      <c r="A158"/>
      <c r="B158"/>
    </row>
    <row r="159" spans="1:2" x14ac:dyDescent="0.25">
      <c r="A159"/>
      <c r="B159"/>
    </row>
    <row r="160" spans="1:2" x14ac:dyDescent="0.25">
      <c r="A160"/>
      <c r="B160"/>
    </row>
    <row r="161" spans="1:2" x14ac:dyDescent="0.25">
      <c r="A161"/>
      <c r="B161"/>
    </row>
    <row r="162" spans="1:2" x14ac:dyDescent="0.25">
      <c r="A162"/>
      <c r="B162"/>
    </row>
    <row r="163" spans="1:2" x14ac:dyDescent="0.25">
      <c r="A163"/>
      <c r="B163"/>
    </row>
    <row r="164" spans="1:2" x14ac:dyDescent="0.25">
      <c r="A164"/>
      <c r="B164"/>
    </row>
    <row r="165" spans="1:2" x14ac:dyDescent="0.25">
      <c r="A165"/>
      <c r="B165"/>
    </row>
    <row r="166" spans="1:2" x14ac:dyDescent="0.25">
      <c r="A166"/>
      <c r="B166"/>
    </row>
    <row r="167" spans="1:2" x14ac:dyDescent="0.25">
      <c r="A167"/>
      <c r="B167"/>
    </row>
    <row r="168" spans="1:2" x14ac:dyDescent="0.25">
      <c r="A168"/>
      <c r="B168"/>
    </row>
    <row r="169" spans="1:2" x14ac:dyDescent="0.25">
      <c r="A169"/>
      <c r="B169"/>
    </row>
    <row r="170" spans="1:2" x14ac:dyDescent="0.25">
      <c r="A170"/>
      <c r="B170"/>
    </row>
    <row r="171" spans="1:2" x14ac:dyDescent="0.25">
      <c r="A171"/>
      <c r="B171"/>
    </row>
    <row r="172" spans="1:2" x14ac:dyDescent="0.25">
      <c r="A172"/>
      <c r="B172"/>
    </row>
    <row r="173" spans="1:2" x14ac:dyDescent="0.25">
      <c r="A173"/>
      <c r="B173"/>
    </row>
    <row r="174" spans="1:2" x14ac:dyDescent="0.25">
      <c r="A174"/>
      <c r="B174"/>
    </row>
    <row r="175" spans="1:2" x14ac:dyDescent="0.25">
      <c r="A175"/>
      <c r="B175"/>
    </row>
    <row r="176" spans="1:2" x14ac:dyDescent="0.25">
      <c r="A176"/>
      <c r="B176"/>
    </row>
    <row r="177" spans="1:2" x14ac:dyDescent="0.25">
      <c r="A177"/>
      <c r="B177"/>
    </row>
    <row r="178" spans="1:2" x14ac:dyDescent="0.25">
      <c r="A178"/>
      <c r="B178"/>
    </row>
    <row r="179" spans="1:2" x14ac:dyDescent="0.25">
      <c r="A179"/>
      <c r="B179"/>
    </row>
    <row r="180" spans="1:2" x14ac:dyDescent="0.25">
      <c r="A180"/>
      <c r="B180"/>
    </row>
    <row r="181" spans="1:2" x14ac:dyDescent="0.25">
      <c r="A181"/>
      <c r="B181"/>
    </row>
    <row r="182" spans="1:2" x14ac:dyDescent="0.25">
      <c r="A182"/>
      <c r="B182"/>
    </row>
    <row r="183" spans="1:2" x14ac:dyDescent="0.25">
      <c r="A183"/>
      <c r="B183"/>
    </row>
    <row r="184" spans="1:2" x14ac:dyDescent="0.25">
      <c r="A184"/>
      <c r="B184"/>
    </row>
    <row r="185" spans="1:2" x14ac:dyDescent="0.25">
      <c r="A185"/>
      <c r="B185"/>
    </row>
    <row r="186" spans="1:2" x14ac:dyDescent="0.25">
      <c r="A186"/>
      <c r="B186"/>
    </row>
    <row r="187" spans="1:2" x14ac:dyDescent="0.25">
      <c r="A187"/>
      <c r="B187"/>
    </row>
    <row r="188" spans="1:2" x14ac:dyDescent="0.25">
      <c r="A188"/>
      <c r="B188"/>
    </row>
    <row r="189" spans="1:2" x14ac:dyDescent="0.25">
      <c r="A189"/>
      <c r="B189"/>
    </row>
    <row r="190" spans="1:2" x14ac:dyDescent="0.25">
      <c r="A190"/>
      <c r="B190"/>
    </row>
    <row r="191" spans="1:2" x14ac:dyDescent="0.25">
      <c r="A191"/>
      <c r="B191"/>
    </row>
    <row r="192" spans="1:2" x14ac:dyDescent="0.25">
      <c r="A192"/>
      <c r="B192"/>
    </row>
    <row r="193" spans="1:2" x14ac:dyDescent="0.25">
      <c r="A193"/>
      <c r="B193"/>
    </row>
    <row r="194" spans="1:2" x14ac:dyDescent="0.25">
      <c r="A194"/>
      <c r="B194"/>
    </row>
    <row r="195" spans="1:2" x14ac:dyDescent="0.25">
      <c r="A195"/>
      <c r="B195"/>
    </row>
    <row r="196" spans="1:2" x14ac:dyDescent="0.25">
      <c r="A196"/>
      <c r="B196"/>
    </row>
    <row r="197" spans="1:2" x14ac:dyDescent="0.25">
      <c r="A197"/>
      <c r="B197"/>
    </row>
    <row r="198" spans="1:2" x14ac:dyDescent="0.25">
      <c r="A198"/>
      <c r="B198"/>
    </row>
    <row r="199" spans="1:2" x14ac:dyDescent="0.25">
      <c r="A199"/>
      <c r="B199"/>
    </row>
    <row r="200" spans="1:2" x14ac:dyDescent="0.25">
      <c r="A200"/>
      <c r="B200"/>
    </row>
    <row r="201" spans="1:2" x14ac:dyDescent="0.25">
      <c r="A201"/>
      <c r="B201"/>
    </row>
    <row r="202" spans="1:2" x14ac:dyDescent="0.25">
      <c r="A202"/>
      <c r="B202"/>
    </row>
    <row r="203" spans="1:2" x14ac:dyDescent="0.25">
      <c r="A203"/>
      <c r="B203"/>
    </row>
    <row r="204" spans="1:2" x14ac:dyDescent="0.25">
      <c r="A204"/>
      <c r="B204"/>
    </row>
    <row r="205" spans="1:2" x14ac:dyDescent="0.25">
      <c r="A205"/>
      <c r="B205"/>
    </row>
    <row r="206" spans="1:2" x14ac:dyDescent="0.25">
      <c r="A206"/>
      <c r="B206"/>
    </row>
    <row r="207" spans="1:2" x14ac:dyDescent="0.25">
      <c r="A207"/>
      <c r="B207"/>
    </row>
    <row r="208" spans="1:2" x14ac:dyDescent="0.25">
      <c r="A208"/>
      <c r="B208"/>
    </row>
    <row r="209" spans="1:2" x14ac:dyDescent="0.25">
      <c r="A209"/>
      <c r="B209"/>
    </row>
    <row r="210" spans="1:2" x14ac:dyDescent="0.25">
      <c r="A210"/>
      <c r="B210"/>
    </row>
    <row r="211" spans="1:2" x14ac:dyDescent="0.25">
      <c r="A211"/>
      <c r="B211"/>
    </row>
    <row r="212" spans="1:2" x14ac:dyDescent="0.25">
      <c r="A212"/>
      <c r="B212"/>
    </row>
    <row r="213" spans="1:2" x14ac:dyDescent="0.25">
      <c r="A213"/>
      <c r="B213"/>
    </row>
    <row r="214" spans="1:2" x14ac:dyDescent="0.25">
      <c r="A214"/>
      <c r="B214"/>
    </row>
    <row r="215" spans="1:2" x14ac:dyDescent="0.25">
      <c r="A215"/>
      <c r="B215"/>
    </row>
    <row r="220" spans="1:2" x14ac:dyDescent="0.25">
      <c r="A220" s="49"/>
      <c r="B220" s="47"/>
    </row>
    <row r="221" spans="1:2" x14ac:dyDescent="0.25">
      <c r="A221" s="49"/>
      <c r="B221" s="47"/>
    </row>
    <row r="222" spans="1:2" x14ac:dyDescent="0.25">
      <c r="A222" s="49"/>
      <c r="B222" s="47"/>
    </row>
    <row r="223" spans="1:2" x14ac:dyDescent="0.25">
      <c r="A223" s="49"/>
      <c r="B223" s="47"/>
    </row>
    <row r="224" spans="1:2" x14ac:dyDescent="0.25">
      <c r="A224" s="49"/>
      <c r="B224" s="47"/>
    </row>
    <row r="225" spans="1:2" x14ac:dyDescent="0.25">
      <c r="A225" s="49"/>
      <c r="B225" s="47"/>
    </row>
    <row r="226" spans="1:2" x14ac:dyDescent="0.25">
      <c r="A226" s="49"/>
      <c r="B226" s="47"/>
    </row>
    <row r="227" spans="1:2" x14ac:dyDescent="0.25">
      <c r="A227" s="49"/>
      <c r="B227" s="47"/>
    </row>
    <row r="228" spans="1:2" x14ac:dyDescent="0.25">
      <c r="A228" s="49"/>
      <c r="B228" s="47"/>
    </row>
    <row r="229" spans="1:2" x14ac:dyDescent="0.25">
      <c r="A229" s="49"/>
      <c r="B229" s="47"/>
    </row>
    <row r="230" spans="1:2" x14ac:dyDescent="0.25">
      <c r="A230" s="49"/>
      <c r="B230" s="47"/>
    </row>
    <row r="231" spans="1:2" x14ac:dyDescent="0.25">
      <c r="A231" s="49"/>
      <c r="B231" s="47"/>
    </row>
    <row r="232" spans="1:2" x14ac:dyDescent="0.25">
      <c r="A232" s="49"/>
      <c r="B232" s="47"/>
    </row>
    <row r="233" spans="1:2" x14ac:dyDescent="0.25">
      <c r="A233" s="49"/>
      <c r="B233" s="47"/>
    </row>
    <row r="234" spans="1:2" x14ac:dyDescent="0.25">
      <c r="A234" s="49"/>
      <c r="B234" s="47"/>
    </row>
    <row r="235" spans="1:2" x14ac:dyDescent="0.25">
      <c r="A235" s="49"/>
      <c r="B235" s="47"/>
    </row>
    <row r="236" spans="1:2" x14ac:dyDescent="0.25">
      <c r="A236" s="49"/>
      <c r="B236" s="47"/>
    </row>
    <row r="237" spans="1:2" x14ac:dyDescent="0.25">
      <c r="A237" s="49"/>
      <c r="B237" s="47"/>
    </row>
    <row r="238" spans="1:2" x14ac:dyDescent="0.25">
      <c r="A238" s="49"/>
      <c r="B238" s="47"/>
    </row>
    <row r="239" spans="1:2" x14ac:dyDescent="0.25">
      <c r="A239" s="49"/>
      <c r="B239" s="47"/>
    </row>
    <row r="240" spans="1:2" x14ac:dyDescent="0.25">
      <c r="A240" s="49"/>
      <c r="B240" s="47"/>
    </row>
    <row r="241" spans="1:2" x14ac:dyDescent="0.25">
      <c r="A241" s="49"/>
      <c r="B241" s="47"/>
    </row>
  </sheetData>
  <sortState ref="A2:B11">
    <sortCondition ref="A1"/>
  </sortState>
  <dataValidations count="2">
    <dataValidation type="decimal" operator="greaterThan" allowBlank="1" showInputMessage="1" showErrorMessage="1" errorTitle="Measurement value" error="Only enter values larger than 0. If measurement value equals 0, substitute with 0.333333333." sqref="B242:B1048576 B1">
      <formula1>0</formula1>
    </dataValidation>
    <dataValidation type="decimal" operator="greaterThan" showErrorMessage="1" errorTitle="Measurement Value" error="Only enter values larger than 0. If measurement value equals 0, substitute with 0.333333333." sqref="B216:B227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37"/>
  <sheetViews>
    <sheetView workbookViewId="0">
      <pane ySplit="1" topLeftCell="A14" activePane="bottomLeft" state="frozen"/>
      <selection pane="bottomLeft" activeCell="B20" sqref="B20"/>
    </sheetView>
  </sheetViews>
  <sheetFormatPr defaultColWidth="8.85546875" defaultRowHeight="15" x14ac:dyDescent="0.25"/>
  <cols>
    <col min="1" max="1" width="28.85546875" style="53" customWidth="1"/>
    <col min="2" max="2" width="12" style="46" bestFit="1" customWidth="1"/>
    <col min="3" max="4" width="8.85546875" style="42"/>
    <col min="5" max="5" width="9.85546875" style="42" bestFit="1" customWidth="1"/>
    <col min="6" max="6" width="8.85546875" style="42"/>
    <col min="7" max="7" width="15" style="42" bestFit="1" customWidth="1"/>
    <col min="8" max="16384" width="8.85546875" style="42"/>
  </cols>
  <sheetData>
    <row r="1" spans="1:2" s="1" customFormat="1" x14ac:dyDescent="0.25">
      <c r="A1" s="52" t="s">
        <v>0</v>
      </c>
      <c r="B1" s="41" t="s">
        <v>2</v>
      </c>
    </row>
    <row r="2" spans="1:2" x14ac:dyDescent="0.25">
      <c r="A2" s="54">
        <v>45615</v>
      </c>
      <c r="B2" s="55">
        <v>27</v>
      </c>
    </row>
    <row r="3" spans="1:2" x14ac:dyDescent="0.25">
      <c r="A3" s="54">
        <v>45622</v>
      </c>
      <c r="B3" s="55">
        <v>159</v>
      </c>
    </row>
    <row r="4" spans="1:2" x14ac:dyDescent="0.25">
      <c r="A4" s="54">
        <v>45629</v>
      </c>
      <c r="B4" s="55">
        <v>62</v>
      </c>
    </row>
    <row r="5" spans="1:2" x14ac:dyDescent="0.25">
      <c r="A5" s="54">
        <v>45636</v>
      </c>
      <c r="B5" s="55">
        <v>92</v>
      </c>
    </row>
    <row r="6" spans="1:2" x14ac:dyDescent="0.25">
      <c r="A6" s="54">
        <v>45644</v>
      </c>
      <c r="B6" s="55">
        <v>84</v>
      </c>
    </row>
    <row r="7" spans="1:2" x14ac:dyDescent="0.25">
      <c r="A7" s="54">
        <v>45649</v>
      </c>
      <c r="B7" s="55">
        <v>12</v>
      </c>
    </row>
    <row r="8" spans="1:2" x14ac:dyDescent="0.25">
      <c r="A8" s="54">
        <v>45657</v>
      </c>
      <c r="B8" s="55">
        <v>143</v>
      </c>
    </row>
    <row r="9" spans="1:2" x14ac:dyDescent="0.25">
      <c r="A9" s="54">
        <v>45664</v>
      </c>
      <c r="B9" s="55">
        <v>21</v>
      </c>
    </row>
    <row r="10" spans="1:2" x14ac:dyDescent="0.25">
      <c r="A10" s="54">
        <v>45671</v>
      </c>
      <c r="B10" s="55">
        <v>265</v>
      </c>
    </row>
    <row r="11" spans="1:2" x14ac:dyDescent="0.25">
      <c r="A11" s="54">
        <v>45678</v>
      </c>
      <c r="B11" s="55">
        <v>24</v>
      </c>
    </row>
    <row r="12" spans="1:2" x14ac:dyDescent="0.25">
      <c r="A12" s="54">
        <v>45685</v>
      </c>
      <c r="B12" s="55">
        <v>12</v>
      </c>
    </row>
    <row r="13" spans="1:2" x14ac:dyDescent="0.25">
      <c r="A13" s="54">
        <v>45692</v>
      </c>
      <c r="B13" s="55">
        <v>34</v>
      </c>
    </row>
    <row r="14" spans="1:2" x14ac:dyDescent="0.25">
      <c r="A14" s="54">
        <v>45699</v>
      </c>
      <c r="B14" s="55">
        <v>17</v>
      </c>
    </row>
    <row r="15" spans="1:2" x14ac:dyDescent="0.25">
      <c r="A15" s="54">
        <v>45706</v>
      </c>
      <c r="B15" s="55">
        <v>6</v>
      </c>
    </row>
    <row r="16" spans="1:2" x14ac:dyDescent="0.25">
      <c r="A16" s="54">
        <v>45713</v>
      </c>
      <c r="B16" s="55">
        <v>14</v>
      </c>
    </row>
    <row r="17" spans="1:2" x14ac:dyDescent="0.25">
      <c r="A17" s="54">
        <v>45720</v>
      </c>
      <c r="B17" s="55">
        <v>61</v>
      </c>
    </row>
    <row r="18" spans="1:2" x14ac:dyDescent="0.25">
      <c r="A18" s="54">
        <v>45727</v>
      </c>
      <c r="B18" s="55">
        <v>3</v>
      </c>
    </row>
    <row r="19" spans="1:2" x14ac:dyDescent="0.25">
      <c r="A19" s="54">
        <v>45734</v>
      </c>
      <c r="B19" s="55">
        <v>44</v>
      </c>
    </row>
    <row r="20" spans="1:2" x14ac:dyDescent="0.25">
      <c r="A20"/>
      <c r="B20"/>
    </row>
    <row r="21" spans="1:2" x14ac:dyDescent="0.25">
      <c r="A21"/>
      <c r="B21"/>
    </row>
    <row r="22" spans="1:2" x14ac:dyDescent="0.25">
      <c r="A22"/>
      <c r="B22"/>
    </row>
    <row r="23" spans="1:2" x14ac:dyDescent="0.25">
      <c r="A23"/>
      <c r="B23"/>
    </row>
    <row r="24" spans="1:2" x14ac:dyDescent="0.25">
      <c r="A24"/>
      <c r="B24"/>
    </row>
    <row r="25" spans="1:2" x14ac:dyDescent="0.25">
      <c r="A25"/>
      <c r="B25"/>
    </row>
    <row r="26" spans="1:2" x14ac:dyDescent="0.25">
      <c r="A26"/>
      <c r="B26"/>
    </row>
    <row r="27" spans="1:2" x14ac:dyDescent="0.25">
      <c r="A27"/>
      <c r="B27"/>
    </row>
    <row r="28" spans="1:2" x14ac:dyDescent="0.25">
      <c r="A28"/>
      <c r="B28"/>
    </row>
    <row r="29" spans="1:2" x14ac:dyDescent="0.25">
      <c r="A29"/>
      <c r="B29"/>
    </row>
    <row r="30" spans="1:2" x14ac:dyDescent="0.25">
      <c r="A30"/>
      <c r="B30"/>
    </row>
    <row r="31" spans="1:2" x14ac:dyDescent="0.25">
      <c r="A31"/>
      <c r="B31"/>
    </row>
    <row r="32" spans="1:2" x14ac:dyDescent="0.25">
      <c r="A32"/>
      <c r="B32"/>
    </row>
    <row r="33" spans="1:2" x14ac:dyDescent="0.25">
      <c r="A33"/>
      <c r="B33"/>
    </row>
    <row r="34" spans="1:2" x14ac:dyDescent="0.25">
      <c r="A34"/>
      <c r="B34"/>
    </row>
    <row r="35" spans="1:2" x14ac:dyDescent="0.25">
      <c r="A35"/>
      <c r="B35"/>
    </row>
    <row r="36" spans="1:2" x14ac:dyDescent="0.25">
      <c r="A36"/>
      <c r="B36"/>
    </row>
    <row r="37" spans="1:2" x14ac:dyDescent="0.25">
      <c r="A37"/>
      <c r="B37"/>
    </row>
    <row r="38" spans="1:2" x14ac:dyDescent="0.25">
      <c r="A38"/>
      <c r="B38"/>
    </row>
    <row r="39" spans="1:2" x14ac:dyDescent="0.25">
      <c r="A39"/>
      <c r="B39"/>
    </row>
    <row r="40" spans="1:2" x14ac:dyDescent="0.25">
      <c r="A40"/>
      <c r="B40"/>
    </row>
    <row r="41" spans="1:2" x14ac:dyDescent="0.25">
      <c r="A41"/>
      <c r="B41"/>
    </row>
    <row r="42" spans="1:2" x14ac:dyDescent="0.25">
      <c r="A42"/>
      <c r="B42"/>
    </row>
    <row r="43" spans="1:2" x14ac:dyDescent="0.25">
      <c r="A43"/>
      <c r="B43"/>
    </row>
    <row r="44" spans="1:2" x14ac:dyDescent="0.25">
      <c r="A44"/>
      <c r="B44"/>
    </row>
    <row r="45" spans="1:2" x14ac:dyDescent="0.25">
      <c r="A45"/>
      <c r="B45"/>
    </row>
    <row r="46" spans="1:2" x14ac:dyDescent="0.25">
      <c r="A46"/>
      <c r="B46"/>
    </row>
    <row r="47" spans="1:2" x14ac:dyDescent="0.25">
      <c r="A47"/>
      <c r="B47"/>
    </row>
    <row r="48" spans="1:2" x14ac:dyDescent="0.25">
      <c r="A48"/>
      <c r="B48"/>
    </row>
    <row r="49" spans="1:2" x14ac:dyDescent="0.25">
      <c r="A49"/>
      <c r="B49"/>
    </row>
    <row r="50" spans="1:2" x14ac:dyDescent="0.25">
      <c r="A50"/>
      <c r="B50"/>
    </row>
    <row r="51" spans="1:2" x14ac:dyDescent="0.25">
      <c r="A51"/>
      <c r="B51"/>
    </row>
    <row r="52" spans="1:2" x14ac:dyDescent="0.25">
      <c r="A52"/>
      <c r="B52"/>
    </row>
    <row r="53" spans="1:2" x14ac:dyDescent="0.25">
      <c r="A53"/>
      <c r="B53"/>
    </row>
    <row r="54" spans="1:2" x14ac:dyDescent="0.25">
      <c r="A54"/>
      <c r="B54"/>
    </row>
    <row r="55" spans="1:2" x14ac:dyDescent="0.25">
      <c r="A55"/>
      <c r="B55"/>
    </row>
    <row r="56" spans="1:2" x14ac:dyDescent="0.25">
      <c r="A56"/>
      <c r="B56"/>
    </row>
    <row r="57" spans="1:2" x14ac:dyDescent="0.25">
      <c r="A57"/>
      <c r="B57"/>
    </row>
    <row r="58" spans="1:2" x14ac:dyDescent="0.25">
      <c r="A58"/>
      <c r="B58"/>
    </row>
    <row r="59" spans="1:2" x14ac:dyDescent="0.25">
      <c r="A59"/>
      <c r="B59"/>
    </row>
    <row r="60" spans="1:2" x14ac:dyDescent="0.25">
      <c r="A60"/>
      <c r="B60"/>
    </row>
    <row r="61" spans="1:2" x14ac:dyDescent="0.25">
      <c r="A61"/>
      <c r="B61"/>
    </row>
    <row r="62" spans="1:2" x14ac:dyDescent="0.25">
      <c r="A62"/>
      <c r="B62"/>
    </row>
    <row r="63" spans="1:2" x14ac:dyDescent="0.25">
      <c r="A63"/>
      <c r="B63"/>
    </row>
    <row r="64" spans="1:2" x14ac:dyDescent="0.25">
      <c r="A64"/>
      <c r="B64"/>
    </row>
    <row r="65" spans="1:2" x14ac:dyDescent="0.25">
      <c r="A65"/>
      <c r="B65"/>
    </row>
    <row r="66" spans="1:2" x14ac:dyDescent="0.25">
      <c r="A66"/>
      <c r="B66"/>
    </row>
    <row r="67" spans="1:2" x14ac:dyDescent="0.25">
      <c r="A67"/>
      <c r="B67"/>
    </row>
    <row r="68" spans="1:2" x14ac:dyDescent="0.25">
      <c r="A68"/>
      <c r="B68"/>
    </row>
    <row r="69" spans="1:2" x14ac:dyDescent="0.25">
      <c r="A69"/>
      <c r="B69"/>
    </row>
    <row r="70" spans="1:2" x14ac:dyDescent="0.25">
      <c r="A70"/>
      <c r="B70"/>
    </row>
    <row r="71" spans="1:2" x14ac:dyDescent="0.25">
      <c r="A71"/>
      <c r="B71"/>
    </row>
    <row r="72" spans="1:2" x14ac:dyDescent="0.25">
      <c r="A72"/>
      <c r="B72"/>
    </row>
    <row r="73" spans="1:2" x14ac:dyDescent="0.25">
      <c r="A73"/>
      <c r="B73"/>
    </row>
    <row r="74" spans="1:2" x14ac:dyDescent="0.25">
      <c r="A74"/>
      <c r="B74"/>
    </row>
    <row r="75" spans="1:2" x14ac:dyDescent="0.25">
      <c r="A75"/>
      <c r="B75"/>
    </row>
    <row r="76" spans="1:2" x14ac:dyDescent="0.25">
      <c r="A76"/>
      <c r="B76"/>
    </row>
    <row r="77" spans="1:2" x14ac:dyDescent="0.25">
      <c r="A77"/>
      <c r="B77"/>
    </row>
    <row r="78" spans="1:2" x14ac:dyDescent="0.25">
      <c r="A78"/>
      <c r="B78"/>
    </row>
    <row r="79" spans="1:2" x14ac:dyDescent="0.25">
      <c r="A79"/>
      <c r="B79"/>
    </row>
    <row r="80" spans="1:2" x14ac:dyDescent="0.25">
      <c r="A80"/>
      <c r="B80"/>
    </row>
    <row r="81" spans="1:2" x14ac:dyDescent="0.25">
      <c r="A81"/>
      <c r="B81"/>
    </row>
    <row r="82" spans="1:2" x14ac:dyDescent="0.25">
      <c r="A82"/>
      <c r="B82"/>
    </row>
    <row r="83" spans="1:2" x14ac:dyDescent="0.25">
      <c r="A83"/>
      <c r="B83"/>
    </row>
    <row r="84" spans="1:2" x14ac:dyDescent="0.25">
      <c r="A84"/>
      <c r="B84"/>
    </row>
    <row r="85" spans="1:2" x14ac:dyDescent="0.25">
      <c r="A85"/>
      <c r="B85"/>
    </row>
    <row r="86" spans="1:2" x14ac:dyDescent="0.25">
      <c r="A86"/>
      <c r="B86"/>
    </row>
    <row r="87" spans="1:2" x14ac:dyDescent="0.25">
      <c r="A87"/>
      <c r="B87"/>
    </row>
    <row r="88" spans="1:2" x14ac:dyDescent="0.25">
      <c r="A88"/>
      <c r="B88"/>
    </row>
    <row r="89" spans="1:2" x14ac:dyDescent="0.25">
      <c r="A89"/>
      <c r="B89"/>
    </row>
    <row r="90" spans="1:2" x14ac:dyDescent="0.25">
      <c r="A90"/>
      <c r="B90"/>
    </row>
    <row r="91" spans="1:2" x14ac:dyDescent="0.25">
      <c r="A91"/>
      <c r="B91"/>
    </row>
    <row r="92" spans="1:2" x14ac:dyDescent="0.25">
      <c r="A92"/>
      <c r="B92"/>
    </row>
    <row r="93" spans="1:2" x14ac:dyDescent="0.25">
      <c r="A93"/>
      <c r="B93"/>
    </row>
    <row r="94" spans="1:2" x14ac:dyDescent="0.25">
      <c r="A94"/>
      <c r="B94"/>
    </row>
    <row r="95" spans="1:2" x14ac:dyDescent="0.25">
      <c r="A95"/>
      <c r="B95"/>
    </row>
    <row r="96" spans="1:2" x14ac:dyDescent="0.25">
      <c r="A96"/>
      <c r="B96"/>
    </row>
    <row r="97" spans="1:2" x14ac:dyDescent="0.25">
      <c r="A97"/>
      <c r="B97"/>
    </row>
    <row r="98" spans="1:2" x14ac:dyDescent="0.25">
      <c r="A98"/>
      <c r="B98"/>
    </row>
    <row r="99" spans="1:2" x14ac:dyDescent="0.25">
      <c r="A99"/>
      <c r="B99"/>
    </row>
    <row r="100" spans="1:2" x14ac:dyDescent="0.25">
      <c r="A100"/>
      <c r="B100"/>
    </row>
    <row r="101" spans="1:2" x14ac:dyDescent="0.25">
      <c r="A101"/>
      <c r="B101"/>
    </row>
    <row r="102" spans="1:2" x14ac:dyDescent="0.25">
      <c r="A102"/>
      <c r="B102"/>
    </row>
    <row r="103" spans="1:2" x14ac:dyDescent="0.25">
      <c r="A103"/>
      <c r="B103"/>
    </row>
    <row r="104" spans="1:2" x14ac:dyDescent="0.25">
      <c r="A104"/>
      <c r="B104"/>
    </row>
    <row r="105" spans="1:2" x14ac:dyDescent="0.25">
      <c r="A105"/>
      <c r="B105"/>
    </row>
    <row r="106" spans="1:2" x14ac:dyDescent="0.25">
      <c r="A106"/>
      <c r="B106"/>
    </row>
    <row r="107" spans="1:2" x14ac:dyDescent="0.25">
      <c r="A107"/>
      <c r="B107"/>
    </row>
    <row r="108" spans="1:2" x14ac:dyDescent="0.25">
      <c r="A108"/>
      <c r="B108"/>
    </row>
    <row r="109" spans="1:2" x14ac:dyDescent="0.25">
      <c r="A109"/>
      <c r="B109"/>
    </row>
    <row r="110" spans="1:2" x14ac:dyDescent="0.25">
      <c r="A110"/>
      <c r="B110"/>
    </row>
    <row r="111" spans="1:2" x14ac:dyDescent="0.25">
      <c r="A111"/>
      <c r="B111"/>
    </row>
    <row r="112" spans="1:2" x14ac:dyDescent="0.25">
      <c r="A112"/>
      <c r="B112"/>
    </row>
    <row r="113" spans="1:2" x14ac:dyDescent="0.25">
      <c r="A113"/>
      <c r="B113"/>
    </row>
    <row r="114" spans="1:2" x14ac:dyDescent="0.25">
      <c r="A114"/>
      <c r="B114"/>
    </row>
    <row r="115" spans="1:2" x14ac:dyDescent="0.25">
      <c r="A115"/>
      <c r="B115"/>
    </row>
    <row r="116" spans="1:2" x14ac:dyDescent="0.25">
      <c r="A116"/>
      <c r="B116"/>
    </row>
    <row r="117" spans="1:2" x14ac:dyDescent="0.25">
      <c r="A117"/>
      <c r="B117"/>
    </row>
    <row r="118" spans="1:2" x14ac:dyDescent="0.25">
      <c r="A118"/>
      <c r="B118"/>
    </row>
    <row r="119" spans="1:2" x14ac:dyDescent="0.25">
      <c r="A119"/>
      <c r="B119"/>
    </row>
    <row r="120" spans="1:2" x14ac:dyDescent="0.25">
      <c r="A120"/>
      <c r="B120"/>
    </row>
    <row r="121" spans="1:2" x14ac:dyDescent="0.25">
      <c r="A121"/>
      <c r="B121"/>
    </row>
    <row r="122" spans="1:2" x14ac:dyDescent="0.25">
      <c r="A122"/>
      <c r="B122"/>
    </row>
    <row r="123" spans="1:2" x14ac:dyDescent="0.25">
      <c r="A123"/>
      <c r="B123"/>
    </row>
    <row r="124" spans="1:2" x14ac:dyDescent="0.25">
      <c r="A124"/>
      <c r="B124"/>
    </row>
    <row r="125" spans="1:2" x14ac:dyDescent="0.25">
      <c r="A125"/>
      <c r="B125"/>
    </row>
    <row r="126" spans="1:2" x14ac:dyDescent="0.25">
      <c r="A126"/>
      <c r="B126"/>
    </row>
    <row r="127" spans="1:2" x14ac:dyDescent="0.25">
      <c r="A127"/>
      <c r="B127"/>
    </row>
    <row r="128" spans="1:2" x14ac:dyDescent="0.25">
      <c r="A128"/>
      <c r="B128"/>
    </row>
    <row r="129" spans="1:2" x14ac:dyDescent="0.25">
      <c r="A129"/>
      <c r="B129"/>
    </row>
    <row r="130" spans="1:2" x14ac:dyDescent="0.25">
      <c r="A130"/>
      <c r="B130"/>
    </row>
    <row r="131" spans="1:2" x14ac:dyDescent="0.25">
      <c r="A131"/>
      <c r="B131"/>
    </row>
    <row r="132" spans="1:2" x14ac:dyDescent="0.25">
      <c r="A132"/>
      <c r="B132"/>
    </row>
    <row r="133" spans="1:2" x14ac:dyDescent="0.25">
      <c r="A133"/>
      <c r="B133"/>
    </row>
    <row r="134" spans="1:2" x14ac:dyDescent="0.25">
      <c r="A134"/>
      <c r="B134"/>
    </row>
    <row r="135" spans="1:2" x14ac:dyDescent="0.25">
      <c r="A135"/>
      <c r="B135"/>
    </row>
    <row r="136" spans="1:2" x14ac:dyDescent="0.25">
      <c r="A136"/>
      <c r="B136"/>
    </row>
    <row r="137" spans="1:2" x14ac:dyDescent="0.25">
      <c r="A137"/>
      <c r="B137"/>
    </row>
    <row r="138" spans="1:2" x14ac:dyDescent="0.25">
      <c r="A138"/>
      <c r="B138"/>
    </row>
    <row r="139" spans="1:2" x14ac:dyDescent="0.25">
      <c r="A139"/>
      <c r="B139"/>
    </row>
    <row r="140" spans="1:2" x14ac:dyDescent="0.25">
      <c r="A140"/>
      <c r="B140"/>
    </row>
    <row r="141" spans="1:2" x14ac:dyDescent="0.25">
      <c r="A141"/>
      <c r="B141"/>
    </row>
    <row r="142" spans="1:2" x14ac:dyDescent="0.25">
      <c r="A142"/>
      <c r="B142"/>
    </row>
    <row r="143" spans="1:2" x14ac:dyDescent="0.25">
      <c r="A143"/>
      <c r="B143"/>
    </row>
    <row r="144" spans="1:2" x14ac:dyDescent="0.25">
      <c r="A144"/>
      <c r="B144"/>
    </row>
    <row r="145" spans="1:2" x14ac:dyDescent="0.25">
      <c r="A145"/>
      <c r="B145"/>
    </row>
    <row r="146" spans="1:2" x14ac:dyDescent="0.25">
      <c r="A146"/>
      <c r="B146"/>
    </row>
    <row r="147" spans="1:2" x14ac:dyDescent="0.25">
      <c r="A147"/>
      <c r="B147"/>
    </row>
    <row r="148" spans="1:2" x14ac:dyDescent="0.25">
      <c r="A148"/>
      <c r="B148"/>
    </row>
    <row r="149" spans="1:2" x14ac:dyDescent="0.25">
      <c r="A149"/>
      <c r="B149"/>
    </row>
    <row r="150" spans="1:2" x14ac:dyDescent="0.25">
      <c r="A150"/>
      <c r="B150"/>
    </row>
    <row r="151" spans="1:2" x14ac:dyDescent="0.25">
      <c r="A151"/>
      <c r="B151"/>
    </row>
    <row r="152" spans="1:2" x14ac:dyDescent="0.25">
      <c r="A152"/>
      <c r="B152"/>
    </row>
    <row r="153" spans="1:2" x14ac:dyDescent="0.25">
      <c r="A153"/>
      <c r="B153"/>
    </row>
    <row r="154" spans="1:2" x14ac:dyDescent="0.25">
      <c r="A154"/>
      <c r="B154"/>
    </row>
    <row r="155" spans="1:2" x14ac:dyDescent="0.25">
      <c r="A155"/>
      <c r="B155"/>
    </row>
    <row r="156" spans="1:2" x14ac:dyDescent="0.25">
      <c r="A156"/>
      <c r="B156"/>
    </row>
    <row r="157" spans="1:2" x14ac:dyDescent="0.25">
      <c r="A157"/>
      <c r="B157"/>
    </row>
    <row r="158" spans="1:2" x14ac:dyDescent="0.25">
      <c r="A158"/>
      <c r="B158"/>
    </row>
    <row r="159" spans="1:2" x14ac:dyDescent="0.25">
      <c r="A159"/>
      <c r="B159"/>
    </row>
    <row r="160" spans="1:2" x14ac:dyDescent="0.25">
      <c r="A160"/>
      <c r="B160"/>
    </row>
    <row r="161" spans="1:2" x14ac:dyDescent="0.25">
      <c r="A161"/>
      <c r="B161"/>
    </row>
    <row r="162" spans="1:2" x14ac:dyDescent="0.25">
      <c r="A162"/>
      <c r="B162"/>
    </row>
    <row r="163" spans="1:2" x14ac:dyDescent="0.25">
      <c r="A163"/>
      <c r="B163"/>
    </row>
    <row r="164" spans="1:2" x14ac:dyDescent="0.25">
      <c r="A164"/>
      <c r="B164"/>
    </row>
    <row r="165" spans="1:2" x14ac:dyDescent="0.25">
      <c r="A165"/>
      <c r="B165"/>
    </row>
    <row r="166" spans="1:2" x14ac:dyDescent="0.25">
      <c r="A166"/>
      <c r="B166"/>
    </row>
    <row r="167" spans="1:2" x14ac:dyDescent="0.25">
      <c r="A167"/>
      <c r="B167"/>
    </row>
    <row r="168" spans="1:2" x14ac:dyDescent="0.25">
      <c r="A168"/>
      <c r="B168"/>
    </row>
    <row r="169" spans="1:2" x14ac:dyDescent="0.25">
      <c r="A169"/>
      <c r="B169"/>
    </row>
    <row r="170" spans="1:2" x14ac:dyDescent="0.25">
      <c r="A170"/>
      <c r="B170"/>
    </row>
    <row r="171" spans="1:2" x14ac:dyDescent="0.25">
      <c r="A171"/>
      <c r="B171"/>
    </row>
    <row r="172" spans="1:2" x14ac:dyDescent="0.25">
      <c r="A172"/>
      <c r="B172"/>
    </row>
    <row r="173" spans="1:2" x14ac:dyDescent="0.25">
      <c r="A173"/>
      <c r="B173"/>
    </row>
    <row r="174" spans="1:2" x14ac:dyDescent="0.25">
      <c r="A174"/>
      <c r="B174"/>
    </row>
    <row r="175" spans="1:2" x14ac:dyDescent="0.25">
      <c r="A175"/>
      <c r="B175"/>
    </row>
    <row r="176" spans="1:2" x14ac:dyDescent="0.25">
      <c r="A176"/>
      <c r="B176"/>
    </row>
    <row r="177" spans="1:2" x14ac:dyDescent="0.25">
      <c r="A177"/>
      <c r="B177"/>
    </row>
    <row r="178" spans="1:2" x14ac:dyDescent="0.25">
      <c r="A178"/>
      <c r="B178"/>
    </row>
    <row r="179" spans="1:2" x14ac:dyDescent="0.25">
      <c r="A179"/>
      <c r="B179"/>
    </row>
    <row r="180" spans="1:2" x14ac:dyDescent="0.25">
      <c r="A180"/>
      <c r="B180"/>
    </row>
    <row r="181" spans="1:2" x14ac:dyDescent="0.25">
      <c r="A181"/>
      <c r="B181"/>
    </row>
    <row r="182" spans="1:2" x14ac:dyDescent="0.25">
      <c r="A182"/>
      <c r="B182"/>
    </row>
    <row r="183" spans="1:2" x14ac:dyDescent="0.25">
      <c r="A183"/>
      <c r="B183"/>
    </row>
    <row r="184" spans="1:2" x14ac:dyDescent="0.25">
      <c r="A184"/>
      <c r="B184"/>
    </row>
    <row r="185" spans="1:2" x14ac:dyDescent="0.25">
      <c r="A185"/>
      <c r="B185"/>
    </row>
    <row r="186" spans="1:2" x14ac:dyDescent="0.25">
      <c r="A186"/>
      <c r="B186"/>
    </row>
    <row r="187" spans="1:2" x14ac:dyDescent="0.25">
      <c r="A187"/>
      <c r="B187"/>
    </row>
    <row r="188" spans="1:2" x14ac:dyDescent="0.25">
      <c r="A188"/>
      <c r="B188"/>
    </row>
    <row r="189" spans="1:2" x14ac:dyDescent="0.25">
      <c r="A189"/>
      <c r="B189"/>
    </row>
    <row r="190" spans="1:2" x14ac:dyDescent="0.25">
      <c r="A190"/>
      <c r="B190"/>
    </row>
    <row r="191" spans="1:2" x14ac:dyDescent="0.25">
      <c r="A191"/>
      <c r="B191"/>
    </row>
    <row r="192" spans="1:2" x14ac:dyDescent="0.25">
      <c r="A192"/>
      <c r="B192"/>
    </row>
    <row r="193" spans="1:2" x14ac:dyDescent="0.25">
      <c r="A193"/>
      <c r="B193"/>
    </row>
    <row r="194" spans="1:2" x14ac:dyDescent="0.25">
      <c r="A194"/>
      <c r="B194"/>
    </row>
    <row r="195" spans="1:2" x14ac:dyDescent="0.25">
      <c r="A195"/>
      <c r="B195"/>
    </row>
    <row r="196" spans="1:2" x14ac:dyDescent="0.25">
      <c r="A196"/>
      <c r="B196"/>
    </row>
    <row r="197" spans="1:2" x14ac:dyDescent="0.25">
      <c r="A197"/>
      <c r="B197"/>
    </row>
    <row r="198" spans="1:2" x14ac:dyDescent="0.25">
      <c r="A198"/>
      <c r="B198"/>
    </row>
    <row r="199" spans="1:2" x14ac:dyDescent="0.25">
      <c r="A199"/>
      <c r="B199"/>
    </row>
    <row r="200" spans="1:2" x14ac:dyDescent="0.25">
      <c r="A200"/>
      <c r="B200"/>
    </row>
    <row r="201" spans="1:2" x14ac:dyDescent="0.25">
      <c r="A201"/>
      <c r="B201"/>
    </row>
    <row r="202" spans="1:2" x14ac:dyDescent="0.25">
      <c r="A202"/>
      <c r="B202"/>
    </row>
    <row r="203" spans="1:2" x14ac:dyDescent="0.25">
      <c r="A203"/>
      <c r="B203"/>
    </row>
    <row r="204" spans="1:2" x14ac:dyDescent="0.25">
      <c r="A204"/>
      <c r="B204"/>
    </row>
    <row r="205" spans="1:2" x14ac:dyDescent="0.25">
      <c r="A205"/>
      <c r="B205"/>
    </row>
    <row r="206" spans="1:2" x14ac:dyDescent="0.25">
      <c r="A206"/>
      <c r="B206"/>
    </row>
    <row r="207" spans="1:2" x14ac:dyDescent="0.25">
      <c r="A207"/>
      <c r="B207"/>
    </row>
    <row r="208" spans="1:2" x14ac:dyDescent="0.25">
      <c r="A208"/>
      <c r="B208"/>
    </row>
    <row r="209" spans="1:2" x14ac:dyDescent="0.25">
      <c r="A209"/>
      <c r="B209"/>
    </row>
    <row r="210" spans="1:2" x14ac:dyDescent="0.25">
      <c r="A210"/>
      <c r="B210"/>
    </row>
    <row r="211" spans="1:2" x14ac:dyDescent="0.25">
      <c r="A211"/>
      <c r="B211"/>
    </row>
    <row r="212" spans="1:2" x14ac:dyDescent="0.25">
      <c r="A212"/>
      <c r="B212"/>
    </row>
    <row r="213" spans="1:2" x14ac:dyDescent="0.25">
      <c r="A213"/>
      <c r="B213"/>
    </row>
    <row r="214" spans="1:2" x14ac:dyDescent="0.25">
      <c r="A214"/>
      <c r="B214"/>
    </row>
    <row r="215" spans="1:2" x14ac:dyDescent="0.25">
      <c r="A215"/>
      <c r="B215"/>
    </row>
    <row r="216" spans="1:2" x14ac:dyDescent="0.25">
      <c r="A216"/>
      <c r="B216"/>
    </row>
    <row r="217" spans="1:2" x14ac:dyDescent="0.25">
      <c r="A217"/>
      <c r="B217"/>
    </row>
    <row r="218" spans="1:2" x14ac:dyDescent="0.25">
      <c r="A218"/>
      <c r="B218"/>
    </row>
    <row r="219" spans="1:2" x14ac:dyDescent="0.25">
      <c r="A219"/>
      <c r="B219"/>
    </row>
    <row r="220" spans="1:2" x14ac:dyDescent="0.25">
      <c r="A220"/>
      <c r="B220"/>
    </row>
    <row r="221" spans="1:2" x14ac:dyDescent="0.25">
      <c r="A221"/>
      <c r="B221"/>
    </row>
    <row r="222" spans="1:2" x14ac:dyDescent="0.25">
      <c r="A222"/>
      <c r="B222"/>
    </row>
    <row r="223" spans="1:2" x14ac:dyDescent="0.25">
      <c r="A223"/>
      <c r="B223"/>
    </row>
    <row r="224" spans="1:2" x14ac:dyDescent="0.25">
      <c r="A224"/>
      <c r="B224"/>
    </row>
    <row r="225" spans="1:2" x14ac:dyDescent="0.25">
      <c r="A225"/>
      <c r="B225"/>
    </row>
    <row r="226" spans="1:2" x14ac:dyDescent="0.25">
      <c r="A226"/>
      <c r="B226"/>
    </row>
    <row r="227" spans="1:2" x14ac:dyDescent="0.25">
      <c r="A227"/>
      <c r="B227"/>
    </row>
    <row r="228" spans="1:2" x14ac:dyDescent="0.25">
      <c r="A228"/>
      <c r="B228"/>
    </row>
    <row r="229" spans="1:2" x14ac:dyDescent="0.25">
      <c r="A229"/>
      <c r="B229"/>
    </row>
    <row r="230" spans="1:2" x14ac:dyDescent="0.25">
      <c r="A230"/>
      <c r="B230"/>
    </row>
    <row r="231" spans="1:2" x14ac:dyDescent="0.25">
      <c r="A231"/>
      <c r="B231"/>
    </row>
    <row r="232" spans="1:2" x14ac:dyDescent="0.25">
      <c r="A232"/>
      <c r="B232"/>
    </row>
    <row r="233" spans="1:2" x14ac:dyDescent="0.25">
      <c r="A233"/>
      <c r="B233"/>
    </row>
    <row r="234" spans="1:2" x14ac:dyDescent="0.25">
      <c r="A234"/>
      <c r="B234"/>
    </row>
    <row r="235" spans="1:2" x14ac:dyDescent="0.25">
      <c r="A235"/>
      <c r="B235"/>
    </row>
    <row r="236" spans="1:2" x14ac:dyDescent="0.25">
      <c r="A236"/>
      <c r="B236"/>
    </row>
    <row r="237" spans="1:2" x14ac:dyDescent="0.25">
      <c r="A237"/>
      <c r="B237"/>
    </row>
  </sheetData>
  <sortState ref="A2:B19">
    <sortCondition ref="A1"/>
  </sortState>
  <dataValidations count="1">
    <dataValidation type="decimal" operator="greaterThan" showErrorMessage="1" errorTitle="Measurement Value" error="Only enter values larger than 0. If measurement value equals 0, substitute with 0.333333333." sqref="B238:B1048576 B1">
      <formula1>0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54FBBE0BA7BB4A86D1994AF60F7674" ma:contentTypeVersion="1" ma:contentTypeDescription="Create a new document." ma:contentTypeScope="" ma:versionID="f8929aafceaf6f2097dffb7b79f285e1">
  <xsd:schema xmlns:xsd="http://www.w3.org/2001/XMLSchema" xmlns:xs="http://www.w3.org/2001/XMLSchema" xmlns:p="http://schemas.microsoft.com/office/2006/metadata/properties" xmlns:ns2="d602efd0-98a8-4264-882b-5af550c3ef7a" targetNamespace="http://schemas.microsoft.com/office/2006/metadata/properties" ma:root="true" ma:fieldsID="a2e38be106ee8a4a54cf5b3ddb344987" ns2:_="">
    <xsd:import namespace="d602efd0-98a8-4264-882b-5af550c3ef7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02efd0-98a8-4264-882b-5af550c3ef7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25DD4B5-31E0-43E8-8074-EED6D3D4FE9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562EB41-0B49-45D9-A977-8377E62AC972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d602efd0-98a8-4264-882b-5af550c3ef7a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B164F5A4-36BE-4CBA-B412-A2C8FB96B56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02efd0-98a8-4264-882b-5af550c3ef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GWESSELS</dc:creator>
  <cp:lastModifiedBy>Dikeledi Prudence Mothiba</cp:lastModifiedBy>
  <dcterms:created xsi:type="dcterms:W3CDTF">2020-07-02T09:36:36Z</dcterms:created>
  <dcterms:modified xsi:type="dcterms:W3CDTF">2025-03-24T14:29:42Z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0x010100C954FBBE0BA7BB4A86D1994AF60F7674</vt:lpwstr>
  </property>
</Properties>
</file>