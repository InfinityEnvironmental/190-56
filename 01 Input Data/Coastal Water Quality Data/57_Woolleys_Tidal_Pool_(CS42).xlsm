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coli'!$A$1:$B$473</definedName>
    <definedName name="_xlnm._FilterDatabase" localSheetId="2" hidden="1">'Faecal streptococci'!$A$1:$B$220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2" i="3" l="1"/>
  <c r="B208" i="3" l="1"/>
  <c r="B389" i="2" l="1"/>
  <c r="B204" i="3" l="1"/>
  <c r="B227" i="2" l="1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210" i="3" l="1"/>
  <c r="B209" i="3" l="1"/>
  <c r="B207" i="3" l="1"/>
  <c r="B206" i="3" l="1"/>
  <c r="B213" i="3" l="1"/>
  <c r="B200" i="3" l="1"/>
  <c r="B226" i="2"/>
  <c r="B216" i="2" l="1"/>
  <c r="B225" i="2" l="1"/>
  <c r="B199" i="3" l="1"/>
  <c r="B198" i="3" l="1"/>
  <c r="B197" i="3" l="1"/>
  <c r="B215" i="2" l="1"/>
  <c r="B203" i="2" l="1"/>
  <c r="B202" i="2" l="1"/>
  <c r="B201" i="2" l="1"/>
  <c r="B199" i="2" l="1"/>
  <c r="B194" i="2" l="1"/>
  <c r="B192" i="3" l="1"/>
  <c r="B191" i="3" l="1"/>
  <c r="B191" i="2" l="1"/>
  <c r="B189" i="2" l="1"/>
  <c r="B187" i="3" l="1"/>
  <c r="B188" i="2"/>
  <c r="B186" i="3" l="1"/>
  <c r="B180" i="3" l="1"/>
  <c r="B179" i="3" l="1"/>
  <c r="B178" i="3" l="1"/>
  <c r="B178" i="2" l="1"/>
  <c r="B176" i="3" l="1"/>
  <c r="B177" i="2"/>
  <c r="B175" i="3" l="1"/>
  <c r="B176" i="2"/>
  <c r="B174" i="2" l="1"/>
  <c r="B172" i="3" l="1"/>
  <c r="B173" i="2"/>
  <c r="B171" i="3" l="1"/>
  <c r="B170" i="3" l="1"/>
  <c r="B171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<sst xmlns="http://schemas.openxmlformats.org/spreadsheetml/2006/main" count="77" uniqueCount="45">
  <si>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</si>
  <si>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</si>
  <si>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</si>
  <si>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</si>
  <si>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</si>
  <si>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</si>
  <si>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</si>
  <si>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</si>
  <si>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</si>
  <si>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</si>
  <si>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</si>
  <si>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</si>
  <si>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</si>
  <si>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</si>
  <si>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</si>
  <si>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</si>
  <si>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</si>
  <si>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</si>
  <si>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</si>
  <si>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</si>
  <si>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</si>
  <si>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Kalk Bay and St James</t>
  </si>
  <si>
    <t>Kalk Bay Rocks</t>
  </si>
  <si>
    <t>588/52</t>
  </si>
  <si>
    <t>280/44</t>
  </si>
  <si>
    <t>76/-</t>
  </si>
  <si>
    <t>58/-</t>
  </si>
  <si>
    <t>189/-</t>
  </si>
  <si>
    <t>91/-</t>
  </si>
  <si>
    <t>271/36</t>
  </si>
  <si>
    <t>60/-</t>
  </si>
  <si>
    <t>5445/300</t>
  </si>
  <si>
    <t>132/-</t>
  </si>
  <si>
    <t>11/-</t>
  </si>
  <si>
    <t>46/-</t>
  </si>
  <si>
    <t>457/1164</t>
  </si>
  <si>
    <t>211/45</t>
  </si>
  <si>
    <t>Not Enough Data</t>
  </si>
  <si>
    <t>2568/696</t>
  </si>
  <si>
    <t>4598/1640</t>
  </si>
  <si>
    <t>3/-</t>
  </si>
  <si>
    <t>248/16</t>
  </si>
  <si>
    <t>10/-</t>
  </si>
  <si>
    <t>300/45</t>
  </si>
  <si>
    <t>20/-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</si>
</sst>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0" borderId="0" xfId="0" applyFont="1" applyFill="1" applyAlignment="1">
      <alignment horizontal="center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13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D40" sqref="D4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22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21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2">
        <f ca="1">TODAY()</f>
        <v>45741</v>
      </c>
      <c r="E11" s="52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2">
        <f>MAX(MAX('Escherichia coli'!A:A),MAX('Faecal streptococci'!A:A))</f>
        <v>45729</v>
      </c>
      <c r="E12" s="52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3">
        <f ca="1">YEAR(D11)+(MONTH(D11)&gt;=D9)</f>
        <v>2025</v>
      </c>
      <c r="E13" s="53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2" t="str">
        <f ca="1">CONCATENATE(TEXT(DATE(D13-1,D9,1), "yyyy/mm/dd")," - ",TEXT(D11,"yyyy/mm/dd"))</f>
        <v>2024/12/01 - 2025/03/25</v>
      </c>
      <c r="E14" s="52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2" t="str">
        <f ca="1">CONCATENATE(TEXT(DATE(D13-5,D9,1), "yyyy/mm/dd")," - ",TEXT(D11,"yyyy/mm/dd"))</f>
        <v>2020/12/01 - 2025/03/25</v>
      </c>
      <c r="E15" s="52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37</v>
      </c>
      <c r="E18" s="26"/>
      <c r="F18" s="22" t="s">
        <v>37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41</v>
      </c>
      <c r="F19" s="22" t="s">
        <v>18</v>
      </c>
      <c r="G19" s="39" t="s">
        <v>43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20</v>
      </c>
      <c r="E20" s="39" t="s">
        <v>40</v>
      </c>
      <c r="F20" s="22" t="s">
        <v>20</v>
      </c>
      <c r="G20" s="39" t="s">
        <v>44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20</v>
      </c>
      <c r="E21" s="39" t="s">
        <v>40</v>
      </c>
      <c r="F21" s="22" t="s">
        <v>20</v>
      </c>
      <c r="G21" s="39" t="s">
        <v>42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1">
        <v>2025</v>
      </c>
      <c r="D22" s="7" t="s">
        <v>37</v>
      </c>
      <c r="E22" s="39"/>
      <c r="F22" s="22" t="s">
        <v>37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20">
        <v>2024</v>
      </c>
      <c r="D23" s="7" t="s">
        <v>20</v>
      </c>
      <c r="E23" s="39" t="s">
        <v>40</v>
      </c>
      <c r="F23" s="22" t="s">
        <v>20</v>
      </c>
      <c r="G23" s="39" t="s">
        <v>42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19</v>
      </c>
      <c r="E24" s="39" t="s">
        <v>39</v>
      </c>
      <c r="F24" s="22" t="s">
        <v>37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19</v>
      </c>
      <c r="E25" s="39" t="s">
        <v>38</v>
      </c>
      <c r="F25" s="22" t="s">
        <v>37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19</v>
      </c>
      <c r="E26" s="26" t="s">
        <v>35</v>
      </c>
      <c r="F26" s="23" t="s">
        <v>18</v>
      </c>
      <c r="G26" s="26" t="s">
        <v>36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20</v>
      </c>
      <c r="E27" s="7" t="s">
        <v>33</v>
      </c>
      <c r="F27" s="24" t="s">
        <v>20</v>
      </c>
      <c r="G27" s="19" t="s">
        <v>34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23</v>
      </c>
      <c r="F28" s="24" t="s">
        <v>18</v>
      </c>
      <c r="G28" s="19">
        <v>3.265625</v>
      </c>
      <c r="H28" s="19"/>
      <c r="I28" s="27"/>
      <c r="J28" s="4"/>
    </row>
    <row r="29" spans="1:13" s="3" customFormat="1" x14ac:dyDescent="0.25">
      <c r="A29" s="7"/>
      <c r="B29" s="7"/>
      <c r="C29" s="15">
        <v>2018</v>
      </c>
      <c r="D29" s="22" t="s">
        <v>18</v>
      </c>
      <c r="E29" s="7" t="s">
        <v>24</v>
      </c>
      <c r="F29" s="24" t="s">
        <v>20</v>
      </c>
      <c r="G29" s="19" t="s">
        <v>25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20</v>
      </c>
      <c r="E30" s="7" t="s">
        <v>26</v>
      </c>
      <c r="F30" s="24" t="s">
        <v>18</v>
      </c>
      <c r="G30" s="19">
        <v>4.882352941176471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17</v>
      </c>
      <c r="E31" s="7" t="s">
        <v>27</v>
      </c>
      <c r="F31" s="24" t="s">
        <v>20</v>
      </c>
      <c r="G31" s="19" t="s">
        <v>28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29</v>
      </c>
      <c r="F32" s="24" t="s">
        <v>20</v>
      </c>
      <c r="G32" s="19" t="s">
        <v>30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31</v>
      </c>
      <c r="F33" s="24" t="s">
        <v>17</v>
      </c>
      <c r="G33" s="19" t="s">
        <v>32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12" priority="1" operator="equal">
      <formula>"Not Enough Data"</formula>
    </cfRule>
    <cfRule type="cellIs" dxfId="11" priority="2" operator="equal">
      <formula>"Excellent"</formula>
    </cfRule>
    <cfRule type="cellIs" dxfId="10" priority="3" operator="equal">
      <formula>"Good"</formula>
    </cfRule>
    <cfRule type="cellIs" dxfId="9" priority="4" operator="equal">
      <formula>"Sufficient"</formula>
    </cfRule>
    <cfRule type="cellIs" dxfId="8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73"/>
  <sheetViews>
    <sheetView workbookViewId="0">
      <pane ySplit="1" topLeftCell="A456" activePane="bottomLeft" state="frozen"/>
      <selection pane="bottomLeft" activeCell="A476" sqref="A476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9" t="s">
        <v>1</v>
      </c>
    </row>
    <row r="2" spans="1:2" s="1" customFormat="1" x14ac:dyDescent="0.25">
      <c r="A2" s="42">
        <v>41647.40902777778</v>
      </c>
      <c r="B2" s="41">
        <v>100</v>
      </c>
    </row>
    <row r="3" spans="1:2" s="1" customFormat="1" x14ac:dyDescent="0.25">
      <c r="A3" s="42">
        <v>41661.404166666667</v>
      </c>
      <c r="B3" s="41">
        <v>0.66666666699999999</v>
      </c>
    </row>
    <row r="4" spans="1:2" s="1" customFormat="1" x14ac:dyDescent="0.25">
      <c r="A4" s="42">
        <v>41675.445138888892</v>
      </c>
      <c r="B4" s="41">
        <v>6</v>
      </c>
    </row>
    <row r="5" spans="1:2" s="1" customFormat="1" x14ac:dyDescent="0.25">
      <c r="A5" s="42">
        <v>41689.477777777778</v>
      </c>
      <c r="B5" s="41">
        <v>0.66666666699999999</v>
      </c>
    </row>
    <row r="6" spans="1:2" s="1" customFormat="1" x14ac:dyDescent="0.25">
      <c r="A6" s="42">
        <v>41703.395138888889</v>
      </c>
      <c r="B6" s="41">
        <v>0.66666666699999999</v>
      </c>
    </row>
    <row r="7" spans="1:2" s="1" customFormat="1" x14ac:dyDescent="0.25">
      <c r="A7" s="42">
        <v>41717</v>
      </c>
      <c r="B7" s="41">
        <v>4</v>
      </c>
    </row>
    <row r="8" spans="1:2" s="1" customFormat="1" x14ac:dyDescent="0.25">
      <c r="A8" s="42">
        <v>41745.388194444444</v>
      </c>
      <c r="B8" s="41">
        <v>20</v>
      </c>
    </row>
    <row r="9" spans="1:2" s="1" customFormat="1" x14ac:dyDescent="0.25">
      <c r="A9" s="42">
        <v>41759.390972222223</v>
      </c>
      <c r="B9" s="41">
        <v>0.66666666699999999</v>
      </c>
    </row>
    <row r="10" spans="1:2" s="1" customFormat="1" x14ac:dyDescent="0.25">
      <c r="A10" s="42">
        <v>41773</v>
      </c>
      <c r="B10" s="41">
        <v>14</v>
      </c>
    </row>
    <row r="11" spans="1:2" s="1" customFormat="1" x14ac:dyDescent="0.25">
      <c r="A11" s="42">
        <v>41787.411111111112</v>
      </c>
      <c r="B11" s="41">
        <v>2</v>
      </c>
    </row>
    <row r="12" spans="1:2" s="1" customFormat="1" x14ac:dyDescent="0.25">
      <c r="A12" s="42">
        <v>41801.458333333336</v>
      </c>
      <c r="B12" s="41">
        <v>0.66666666699999999</v>
      </c>
    </row>
    <row r="13" spans="1:2" s="1" customFormat="1" x14ac:dyDescent="0.25">
      <c r="A13" s="42">
        <v>41815.426388888889</v>
      </c>
      <c r="B13" s="41">
        <v>14</v>
      </c>
    </row>
    <row r="14" spans="1:2" s="1" customFormat="1" x14ac:dyDescent="0.25">
      <c r="A14" s="42">
        <v>41829.449999999997</v>
      </c>
      <c r="B14" s="41">
        <v>300</v>
      </c>
    </row>
    <row r="15" spans="1:2" s="1" customFormat="1" x14ac:dyDescent="0.25">
      <c r="A15" s="42">
        <v>41843.434027777781</v>
      </c>
      <c r="B15" s="41">
        <v>0.66666666699999999</v>
      </c>
    </row>
    <row r="16" spans="1:2" s="1" customFormat="1" x14ac:dyDescent="0.25">
      <c r="A16" s="42">
        <v>41857.374305555553</v>
      </c>
      <c r="B16" s="41">
        <v>15000</v>
      </c>
    </row>
    <row r="17" spans="1:2" s="1" customFormat="1" x14ac:dyDescent="0.25">
      <c r="A17" s="42">
        <v>41871.439583333333</v>
      </c>
      <c r="B17" s="41">
        <v>300</v>
      </c>
    </row>
    <row r="18" spans="1:2" s="1" customFormat="1" x14ac:dyDescent="0.25">
      <c r="A18" s="42">
        <v>41885.382638888892</v>
      </c>
      <c r="B18" s="41">
        <v>2</v>
      </c>
    </row>
    <row r="19" spans="1:2" s="1" customFormat="1" x14ac:dyDescent="0.25">
      <c r="A19" s="42">
        <v>41899</v>
      </c>
      <c r="B19" s="41">
        <v>10</v>
      </c>
    </row>
    <row r="20" spans="1:2" s="1" customFormat="1" x14ac:dyDescent="0.25">
      <c r="A20" s="42">
        <v>41913.411111111112</v>
      </c>
      <c r="B20" s="41">
        <v>8</v>
      </c>
    </row>
    <row r="21" spans="1:2" s="1" customFormat="1" x14ac:dyDescent="0.25">
      <c r="A21" s="42">
        <v>41927.409722222219</v>
      </c>
      <c r="B21" s="41">
        <v>40</v>
      </c>
    </row>
    <row r="22" spans="1:2" s="1" customFormat="1" x14ac:dyDescent="0.25">
      <c r="A22" s="42">
        <v>41941.379861111112</v>
      </c>
      <c r="B22" s="41">
        <v>0.66666666699999999</v>
      </c>
    </row>
    <row r="23" spans="1:2" s="1" customFormat="1" x14ac:dyDescent="0.25">
      <c r="A23" s="42">
        <v>41955.469444444447</v>
      </c>
      <c r="B23" s="41">
        <v>6</v>
      </c>
    </row>
    <row r="24" spans="1:2" s="1" customFormat="1" x14ac:dyDescent="0.25">
      <c r="A24" s="42">
        <v>41969.439583333333</v>
      </c>
      <c r="B24" s="41">
        <v>2</v>
      </c>
    </row>
    <row r="25" spans="1:2" s="1" customFormat="1" x14ac:dyDescent="0.25">
      <c r="A25" s="42">
        <v>41983.456250000003</v>
      </c>
      <c r="B25" s="41">
        <v>0.66666666699999999</v>
      </c>
    </row>
    <row r="26" spans="1:2" x14ac:dyDescent="0.25">
      <c r="A26" s="42">
        <v>41992.355555555558</v>
      </c>
      <c r="B26" s="41">
        <v>0.66666666699999999</v>
      </c>
    </row>
    <row r="27" spans="1:2" x14ac:dyDescent="0.25">
      <c r="A27" s="42">
        <v>42011.39166666667</v>
      </c>
      <c r="B27" s="41">
        <v>2</v>
      </c>
    </row>
    <row r="28" spans="1:2" x14ac:dyDescent="0.25">
      <c r="A28" s="42">
        <v>42025.447916666664</v>
      </c>
      <c r="B28" s="41">
        <v>0.66666666699999999</v>
      </c>
    </row>
    <row r="29" spans="1:2" x14ac:dyDescent="0.25">
      <c r="A29" s="42">
        <v>42039.438194444447</v>
      </c>
      <c r="B29" s="41">
        <v>0.66666666699999999</v>
      </c>
    </row>
    <row r="30" spans="1:2" x14ac:dyDescent="0.25">
      <c r="A30" s="42">
        <v>42053.425000000003</v>
      </c>
      <c r="B30" s="41">
        <v>16</v>
      </c>
    </row>
    <row r="31" spans="1:2" x14ac:dyDescent="0.25">
      <c r="A31" s="42">
        <v>42067.451388888891</v>
      </c>
      <c r="B31" s="41">
        <v>38</v>
      </c>
    </row>
    <row r="32" spans="1:2" x14ac:dyDescent="0.25">
      <c r="A32" s="42">
        <v>42081.390277777777</v>
      </c>
      <c r="B32" s="41">
        <v>2</v>
      </c>
    </row>
    <row r="33" spans="1:2" x14ac:dyDescent="0.25">
      <c r="A33" s="42">
        <v>42094</v>
      </c>
      <c r="B33" s="41">
        <v>0.66666666699999999</v>
      </c>
    </row>
    <row r="34" spans="1:2" x14ac:dyDescent="0.25">
      <c r="A34" s="42">
        <v>42109</v>
      </c>
      <c r="B34" s="41">
        <v>2</v>
      </c>
    </row>
    <row r="35" spans="1:2" x14ac:dyDescent="0.25">
      <c r="A35" s="42">
        <v>42123</v>
      </c>
      <c r="B35" s="41">
        <v>6</v>
      </c>
    </row>
    <row r="36" spans="1:2" x14ac:dyDescent="0.25">
      <c r="A36" s="42">
        <v>42137</v>
      </c>
      <c r="B36" s="41">
        <v>2</v>
      </c>
    </row>
    <row r="37" spans="1:2" x14ac:dyDescent="0.25">
      <c r="A37" s="42">
        <v>42151</v>
      </c>
      <c r="B37" s="41">
        <v>2</v>
      </c>
    </row>
    <row r="38" spans="1:2" x14ac:dyDescent="0.25">
      <c r="A38" s="42">
        <v>42165</v>
      </c>
      <c r="B38" s="41">
        <v>22</v>
      </c>
    </row>
    <row r="39" spans="1:2" x14ac:dyDescent="0.25">
      <c r="A39" s="42">
        <v>42179</v>
      </c>
      <c r="B39" s="41">
        <v>1050</v>
      </c>
    </row>
    <row r="40" spans="1:2" x14ac:dyDescent="0.25">
      <c r="A40" s="42">
        <v>42193</v>
      </c>
      <c r="B40" s="41">
        <v>16</v>
      </c>
    </row>
    <row r="41" spans="1:2" x14ac:dyDescent="0.25">
      <c r="A41" s="42">
        <v>42207</v>
      </c>
      <c r="B41" s="41">
        <v>6</v>
      </c>
    </row>
    <row r="42" spans="1:2" x14ac:dyDescent="0.25">
      <c r="A42" s="42">
        <v>42221</v>
      </c>
      <c r="B42" s="41">
        <v>0.66666666699999999</v>
      </c>
    </row>
    <row r="43" spans="1:2" x14ac:dyDescent="0.25">
      <c r="A43" s="42">
        <v>42235</v>
      </c>
      <c r="B43" s="41">
        <v>6</v>
      </c>
    </row>
    <row r="44" spans="1:2" x14ac:dyDescent="0.25">
      <c r="A44" s="42">
        <v>42249</v>
      </c>
      <c r="B44" s="41">
        <v>4</v>
      </c>
    </row>
    <row r="45" spans="1:2" x14ac:dyDescent="0.25">
      <c r="A45" s="42">
        <v>42263</v>
      </c>
      <c r="B45" s="41">
        <v>2</v>
      </c>
    </row>
    <row r="46" spans="1:2" x14ac:dyDescent="0.25">
      <c r="A46" s="42">
        <v>42277</v>
      </c>
      <c r="B46" s="41">
        <v>76</v>
      </c>
    </row>
    <row r="47" spans="1:2" x14ac:dyDescent="0.25">
      <c r="A47" s="42">
        <v>42291</v>
      </c>
      <c r="B47" s="41">
        <v>6</v>
      </c>
    </row>
    <row r="48" spans="1:2" x14ac:dyDescent="0.25">
      <c r="A48" s="42">
        <v>42305</v>
      </c>
      <c r="B48" s="41">
        <v>16</v>
      </c>
    </row>
    <row r="49" spans="1:2" x14ac:dyDescent="0.25">
      <c r="A49" s="42">
        <v>42319</v>
      </c>
      <c r="B49" s="41">
        <v>4</v>
      </c>
    </row>
    <row r="50" spans="1:2" x14ac:dyDescent="0.25">
      <c r="A50" s="42">
        <v>42333</v>
      </c>
      <c r="B50" s="41">
        <v>2</v>
      </c>
    </row>
    <row r="51" spans="1:2" x14ac:dyDescent="0.25">
      <c r="A51" s="42">
        <v>42347</v>
      </c>
      <c r="B51" s="41">
        <v>24</v>
      </c>
    </row>
    <row r="52" spans="1:2" x14ac:dyDescent="0.25">
      <c r="A52" s="42">
        <v>42360</v>
      </c>
      <c r="B52" s="41">
        <v>16</v>
      </c>
    </row>
    <row r="53" spans="1:2" x14ac:dyDescent="0.25">
      <c r="A53" s="42">
        <v>42376</v>
      </c>
      <c r="B53" s="41">
        <v>8</v>
      </c>
    </row>
    <row r="54" spans="1:2" x14ac:dyDescent="0.25">
      <c r="A54" s="42">
        <v>42389</v>
      </c>
      <c r="B54" s="41">
        <v>600</v>
      </c>
    </row>
    <row r="55" spans="1:2" x14ac:dyDescent="0.25">
      <c r="A55" s="42">
        <v>42403</v>
      </c>
      <c r="B55" s="41">
        <v>28</v>
      </c>
    </row>
    <row r="56" spans="1:2" x14ac:dyDescent="0.25">
      <c r="A56" s="42">
        <v>42417</v>
      </c>
      <c r="B56" s="41">
        <v>16</v>
      </c>
    </row>
    <row r="57" spans="1:2" x14ac:dyDescent="0.25">
      <c r="A57" s="42">
        <v>42431</v>
      </c>
      <c r="B57" s="41">
        <v>18</v>
      </c>
    </row>
    <row r="58" spans="1:2" x14ac:dyDescent="0.25">
      <c r="A58" s="42">
        <v>42445</v>
      </c>
      <c r="B58" s="41">
        <v>0.66666666699999999</v>
      </c>
    </row>
    <row r="59" spans="1:2" x14ac:dyDescent="0.25">
      <c r="A59" s="42">
        <v>42464</v>
      </c>
      <c r="B59" s="41">
        <v>18</v>
      </c>
    </row>
    <row r="60" spans="1:2" x14ac:dyDescent="0.25">
      <c r="A60" s="42">
        <v>42473</v>
      </c>
      <c r="B60" s="41">
        <v>0.66666666699999999</v>
      </c>
    </row>
    <row r="61" spans="1:2" x14ac:dyDescent="0.25">
      <c r="A61" s="42">
        <v>42486</v>
      </c>
      <c r="B61" s="41">
        <v>50</v>
      </c>
    </row>
    <row r="62" spans="1:2" x14ac:dyDescent="0.25">
      <c r="A62" s="42">
        <v>42501</v>
      </c>
      <c r="B62" s="41">
        <v>86</v>
      </c>
    </row>
    <row r="63" spans="1:2" x14ac:dyDescent="0.25">
      <c r="A63" s="42">
        <v>42515</v>
      </c>
      <c r="B63" s="41">
        <v>36</v>
      </c>
    </row>
    <row r="64" spans="1:2" x14ac:dyDescent="0.25">
      <c r="A64" s="42">
        <v>42529</v>
      </c>
      <c r="B64" s="41">
        <v>2</v>
      </c>
    </row>
    <row r="65" spans="1:2" x14ac:dyDescent="0.25">
      <c r="A65" s="42">
        <v>42543</v>
      </c>
      <c r="B65" s="41">
        <v>4</v>
      </c>
    </row>
    <row r="66" spans="1:2" x14ac:dyDescent="0.25">
      <c r="A66" s="42">
        <v>42557</v>
      </c>
      <c r="B66" s="41">
        <v>6</v>
      </c>
    </row>
    <row r="67" spans="1:2" x14ac:dyDescent="0.25">
      <c r="A67" s="42">
        <v>42571</v>
      </c>
      <c r="B67" s="41">
        <v>0.66666666699999999</v>
      </c>
    </row>
    <row r="68" spans="1:2" x14ac:dyDescent="0.25">
      <c r="A68" s="42">
        <v>42586</v>
      </c>
      <c r="B68" s="41">
        <v>0.66666666699999999</v>
      </c>
    </row>
    <row r="69" spans="1:2" x14ac:dyDescent="0.25">
      <c r="A69" s="42">
        <v>42599</v>
      </c>
      <c r="B69" s="41">
        <v>0.66666666699999999</v>
      </c>
    </row>
    <row r="70" spans="1:2" x14ac:dyDescent="0.25">
      <c r="A70" s="42">
        <v>42613</v>
      </c>
      <c r="B70" s="41">
        <v>0.66666666699999999</v>
      </c>
    </row>
    <row r="71" spans="1:2" x14ac:dyDescent="0.25">
      <c r="A71" s="42">
        <v>42627</v>
      </c>
      <c r="B71" s="41">
        <v>0.66666666699999999</v>
      </c>
    </row>
    <row r="72" spans="1:2" x14ac:dyDescent="0.25">
      <c r="A72" s="42">
        <v>42641</v>
      </c>
      <c r="B72" s="41">
        <v>0.66666666699999999</v>
      </c>
    </row>
    <row r="73" spans="1:2" x14ac:dyDescent="0.25">
      <c r="A73" s="42">
        <v>42655</v>
      </c>
      <c r="B73" s="41">
        <v>0.66666666699999999</v>
      </c>
    </row>
    <row r="74" spans="1:2" x14ac:dyDescent="0.25">
      <c r="A74" s="42">
        <v>42669</v>
      </c>
      <c r="B74" s="41">
        <v>0.66666666699999999</v>
      </c>
    </row>
    <row r="75" spans="1:2" x14ac:dyDescent="0.25">
      <c r="A75" s="42">
        <v>42683</v>
      </c>
      <c r="B75" s="41">
        <v>50</v>
      </c>
    </row>
    <row r="76" spans="1:2" x14ac:dyDescent="0.25">
      <c r="A76" s="42">
        <v>42697</v>
      </c>
      <c r="B76" s="41">
        <v>16.666666670000001</v>
      </c>
    </row>
    <row r="77" spans="1:2" x14ac:dyDescent="0.25">
      <c r="A77" s="42">
        <v>42711</v>
      </c>
      <c r="B77" s="41">
        <v>3.3333333330000001</v>
      </c>
    </row>
    <row r="78" spans="1:2" x14ac:dyDescent="0.25">
      <c r="A78" s="42">
        <v>42725</v>
      </c>
      <c r="B78" s="41">
        <v>4</v>
      </c>
    </row>
    <row r="79" spans="1:2" x14ac:dyDescent="0.25">
      <c r="A79" s="42">
        <v>42740</v>
      </c>
      <c r="B79" s="41">
        <v>34</v>
      </c>
    </row>
    <row r="80" spans="1:2" x14ac:dyDescent="0.25">
      <c r="A80" s="42">
        <v>42753</v>
      </c>
      <c r="B80" s="41">
        <v>40</v>
      </c>
    </row>
    <row r="81" spans="1:2" x14ac:dyDescent="0.25">
      <c r="A81" s="42">
        <v>42767</v>
      </c>
      <c r="B81" s="41">
        <v>0.66666666699999999</v>
      </c>
    </row>
    <row r="82" spans="1:2" x14ac:dyDescent="0.25">
      <c r="A82" s="42">
        <v>42781</v>
      </c>
      <c r="B82" s="41">
        <v>36</v>
      </c>
    </row>
    <row r="83" spans="1:2" x14ac:dyDescent="0.25">
      <c r="A83" s="42">
        <v>42795</v>
      </c>
      <c r="B83" s="41">
        <v>4</v>
      </c>
    </row>
    <row r="84" spans="1:2" x14ac:dyDescent="0.25">
      <c r="A84" s="42">
        <v>42809</v>
      </c>
      <c r="B84" s="41">
        <v>6</v>
      </c>
    </row>
    <row r="85" spans="1:2" x14ac:dyDescent="0.25">
      <c r="A85" s="42">
        <v>42823</v>
      </c>
      <c r="B85" s="41">
        <v>28</v>
      </c>
    </row>
    <row r="86" spans="1:2" x14ac:dyDescent="0.25">
      <c r="A86" s="42">
        <v>42836</v>
      </c>
      <c r="B86" s="41">
        <v>4</v>
      </c>
    </row>
    <row r="87" spans="1:2" x14ac:dyDescent="0.25">
      <c r="A87" s="42">
        <v>42851</v>
      </c>
      <c r="B87" s="41">
        <v>52</v>
      </c>
    </row>
    <row r="88" spans="1:2" x14ac:dyDescent="0.25">
      <c r="A88" s="42">
        <v>42865</v>
      </c>
      <c r="B88" s="41">
        <v>20</v>
      </c>
    </row>
    <row r="89" spans="1:2" x14ac:dyDescent="0.25">
      <c r="A89" s="42">
        <v>42879</v>
      </c>
      <c r="B89" s="41">
        <v>2</v>
      </c>
    </row>
    <row r="90" spans="1:2" x14ac:dyDescent="0.25">
      <c r="A90" s="42">
        <v>42893</v>
      </c>
      <c r="B90" s="41">
        <v>82</v>
      </c>
    </row>
    <row r="91" spans="1:2" x14ac:dyDescent="0.25">
      <c r="A91" s="42">
        <v>42907</v>
      </c>
      <c r="B91" s="41">
        <v>0.66666666699999999</v>
      </c>
    </row>
    <row r="92" spans="1:2" x14ac:dyDescent="0.25">
      <c r="A92" s="42">
        <v>42921</v>
      </c>
      <c r="B92" s="41">
        <v>10</v>
      </c>
    </row>
    <row r="93" spans="1:2" x14ac:dyDescent="0.25">
      <c r="A93" s="42">
        <v>42935</v>
      </c>
      <c r="B93" s="41">
        <v>4</v>
      </c>
    </row>
    <row r="94" spans="1:2" x14ac:dyDescent="0.25">
      <c r="A94" s="42">
        <v>42949</v>
      </c>
      <c r="B94" s="41">
        <v>2</v>
      </c>
    </row>
    <row r="95" spans="1:2" x14ac:dyDescent="0.25">
      <c r="A95" s="42">
        <v>42963</v>
      </c>
      <c r="B95" s="41">
        <v>2</v>
      </c>
    </row>
    <row r="96" spans="1:2" x14ac:dyDescent="0.25">
      <c r="A96" s="42">
        <v>42977</v>
      </c>
      <c r="B96" s="41">
        <v>4</v>
      </c>
    </row>
    <row r="97" spans="1:2" x14ac:dyDescent="0.25">
      <c r="A97" s="42">
        <v>42991</v>
      </c>
      <c r="B97" s="41">
        <v>0.66666666699999999</v>
      </c>
    </row>
    <row r="98" spans="1:2" x14ac:dyDescent="0.25">
      <c r="A98" s="42">
        <v>43005</v>
      </c>
      <c r="B98" s="41">
        <v>2</v>
      </c>
    </row>
    <row r="99" spans="1:2" x14ac:dyDescent="0.25">
      <c r="A99" s="42">
        <v>43019</v>
      </c>
      <c r="B99" s="41">
        <v>0.66666666699999999</v>
      </c>
    </row>
    <row r="100" spans="1:2" x14ac:dyDescent="0.25">
      <c r="A100" s="42">
        <v>43033</v>
      </c>
      <c r="B100" s="45">
        <v>0.66666666699999999</v>
      </c>
    </row>
    <row r="101" spans="1:2" x14ac:dyDescent="0.25">
      <c r="A101" s="42">
        <v>43047</v>
      </c>
      <c r="B101" s="45">
        <v>2</v>
      </c>
    </row>
    <row r="102" spans="1:2" x14ac:dyDescent="0.25">
      <c r="A102" s="42">
        <v>43061</v>
      </c>
      <c r="B102" s="45">
        <v>4</v>
      </c>
    </row>
    <row r="103" spans="1:2" x14ac:dyDescent="0.25">
      <c r="A103" s="42">
        <v>43089</v>
      </c>
      <c r="B103" s="45">
        <v>0.66666666699999999</v>
      </c>
    </row>
    <row r="104" spans="1:2" x14ac:dyDescent="0.25">
      <c r="A104" s="42">
        <v>43103</v>
      </c>
      <c r="B104" s="41">
        <v>90</v>
      </c>
    </row>
    <row r="105" spans="1:2" x14ac:dyDescent="0.25">
      <c r="A105" s="42">
        <v>43117</v>
      </c>
      <c r="B105" s="41">
        <v>6</v>
      </c>
    </row>
    <row r="106" spans="1:2" x14ac:dyDescent="0.25">
      <c r="A106" s="42">
        <v>43131</v>
      </c>
      <c r="B106" s="41">
        <v>44</v>
      </c>
    </row>
    <row r="107" spans="1:2" x14ac:dyDescent="0.25">
      <c r="A107" s="42">
        <v>43145</v>
      </c>
      <c r="B107" s="41">
        <v>30</v>
      </c>
    </row>
    <row r="108" spans="1:2" x14ac:dyDescent="0.25">
      <c r="A108" s="42">
        <v>43159</v>
      </c>
      <c r="B108" s="41">
        <v>2</v>
      </c>
    </row>
    <row r="109" spans="1:2" x14ac:dyDescent="0.25">
      <c r="A109" s="42">
        <v>43173</v>
      </c>
      <c r="B109" s="41">
        <v>2</v>
      </c>
    </row>
    <row r="110" spans="1:2" x14ac:dyDescent="0.25">
      <c r="A110" s="42">
        <v>43186</v>
      </c>
      <c r="B110" s="41">
        <v>4</v>
      </c>
    </row>
    <row r="111" spans="1:2" x14ac:dyDescent="0.25">
      <c r="A111" s="42">
        <v>43201</v>
      </c>
      <c r="B111" s="41">
        <v>14</v>
      </c>
    </row>
    <row r="112" spans="1:2" x14ac:dyDescent="0.25">
      <c r="A112" s="42">
        <v>43215</v>
      </c>
      <c r="B112" s="41">
        <v>0.66666666699999999</v>
      </c>
    </row>
    <row r="113" spans="1:2" x14ac:dyDescent="0.25">
      <c r="A113" s="42">
        <v>43229</v>
      </c>
      <c r="B113" s="41">
        <v>850</v>
      </c>
    </row>
    <row r="114" spans="1:2" x14ac:dyDescent="0.25">
      <c r="A114" s="42">
        <v>43243</v>
      </c>
      <c r="B114" s="41">
        <v>4</v>
      </c>
    </row>
    <row r="115" spans="1:2" x14ac:dyDescent="0.25">
      <c r="A115" s="42">
        <v>43257</v>
      </c>
      <c r="B115" s="41">
        <v>2</v>
      </c>
    </row>
    <row r="116" spans="1:2" x14ac:dyDescent="0.25">
      <c r="A116" s="42">
        <v>43271</v>
      </c>
      <c r="B116" s="41">
        <v>0.66666666699999999</v>
      </c>
    </row>
    <row r="117" spans="1:2" x14ac:dyDescent="0.25">
      <c r="A117" s="42">
        <v>43285</v>
      </c>
      <c r="B117" s="41">
        <v>10</v>
      </c>
    </row>
    <row r="118" spans="1:2" x14ac:dyDescent="0.25">
      <c r="A118" s="42">
        <v>43299</v>
      </c>
      <c r="B118" s="41">
        <v>2</v>
      </c>
    </row>
    <row r="119" spans="1:2" x14ac:dyDescent="0.25">
      <c r="A119" s="42">
        <v>43313</v>
      </c>
      <c r="B119" s="41">
        <v>14</v>
      </c>
    </row>
    <row r="120" spans="1:2" x14ac:dyDescent="0.25">
      <c r="A120" s="42">
        <v>43327</v>
      </c>
      <c r="B120" s="41">
        <v>0.66666666699999999</v>
      </c>
    </row>
    <row r="121" spans="1:2" x14ac:dyDescent="0.25">
      <c r="A121" s="42">
        <v>43341</v>
      </c>
      <c r="B121" s="41">
        <v>18</v>
      </c>
    </row>
    <row r="122" spans="1:2" x14ac:dyDescent="0.25">
      <c r="A122" s="42">
        <v>43355</v>
      </c>
      <c r="B122" s="41">
        <v>2</v>
      </c>
    </row>
    <row r="123" spans="1:2" x14ac:dyDescent="0.25">
      <c r="A123" s="42">
        <v>43369</v>
      </c>
      <c r="B123" s="41">
        <v>4</v>
      </c>
    </row>
    <row r="124" spans="1:2" x14ac:dyDescent="0.25">
      <c r="A124" s="42">
        <v>43383</v>
      </c>
      <c r="B124" s="41">
        <v>0.66666666699999999</v>
      </c>
    </row>
    <row r="125" spans="1:2" x14ac:dyDescent="0.25">
      <c r="A125" s="42">
        <v>43397.477083333331</v>
      </c>
      <c r="B125" s="41">
        <v>0.66666666699999999</v>
      </c>
    </row>
    <row r="126" spans="1:2" x14ac:dyDescent="0.25">
      <c r="A126" s="42">
        <v>43411.376388888886</v>
      </c>
      <c r="B126" s="41">
        <v>0.66666666699999999</v>
      </c>
    </row>
    <row r="127" spans="1:2" x14ac:dyDescent="0.25">
      <c r="A127" s="42">
        <v>43425.370138888888</v>
      </c>
      <c r="B127" s="41">
        <v>2</v>
      </c>
    </row>
    <row r="128" spans="1:2" x14ac:dyDescent="0.25">
      <c r="A128" s="42">
        <v>43439</v>
      </c>
      <c r="B128" s="41">
        <v>2</v>
      </c>
    </row>
    <row r="129" spans="1:2" x14ac:dyDescent="0.25">
      <c r="A129" s="42">
        <v>43453.413194444445</v>
      </c>
      <c r="B129" s="41">
        <v>2</v>
      </c>
    </row>
    <row r="130" spans="1:2" x14ac:dyDescent="0.25">
      <c r="A130" s="42">
        <v>43468.394444444442</v>
      </c>
      <c r="B130" s="41">
        <v>0.66666666699999999</v>
      </c>
    </row>
    <row r="131" spans="1:2" x14ac:dyDescent="0.25">
      <c r="A131" s="42">
        <v>43481.362500000003</v>
      </c>
      <c r="B131" s="41">
        <v>4</v>
      </c>
    </row>
    <row r="132" spans="1:2" x14ac:dyDescent="0.25">
      <c r="A132" s="42">
        <v>43495</v>
      </c>
      <c r="B132" s="41">
        <v>16</v>
      </c>
    </row>
    <row r="133" spans="1:2" x14ac:dyDescent="0.25">
      <c r="A133" s="42">
        <v>43509.40625</v>
      </c>
      <c r="B133" s="41">
        <v>2000</v>
      </c>
    </row>
    <row r="134" spans="1:2" x14ac:dyDescent="0.25">
      <c r="A134" s="42">
        <v>43523.40625</v>
      </c>
      <c r="B134" s="41">
        <v>2</v>
      </c>
    </row>
    <row r="135" spans="1:2" x14ac:dyDescent="0.25">
      <c r="A135" s="42">
        <v>43537</v>
      </c>
      <c r="B135" s="41">
        <v>0.66666666699999999</v>
      </c>
    </row>
    <row r="136" spans="1:2" x14ac:dyDescent="0.25">
      <c r="A136" s="42">
        <v>43551</v>
      </c>
      <c r="B136" s="41">
        <v>0.66666666699999999</v>
      </c>
    </row>
    <row r="137" spans="1:2" x14ac:dyDescent="0.25">
      <c r="A137" s="42">
        <v>43565</v>
      </c>
      <c r="B137" s="45">
        <v>0.66666666699999999</v>
      </c>
    </row>
    <row r="138" spans="1:2" x14ac:dyDescent="0.25">
      <c r="A138" s="42">
        <v>43579</v>
      </c>
      <c r="B138" s="45">
        <v>2</v>
      </c>
    </row>
    <row r="139" spans="1:2" x14ac:dyDescent="0.25">
      <c r="A139" s="42">
        <v>43592</v>
      </c>
      <c r="B139" s="47">
        <v>50</v>
      </c>
    </row>
    <row r="140" spans="1:2" x14ac:dyDescent="0.25">
      <c r="A140" s="42">
        <v>43607</v>
      </c>
      <c r="B140" s="47">
        <v>24</v>
      </c>
    </row>
    <row r="141" spans="1:2" x14ac:dyDescent="0.25">
      <c r="A141" s="42">
        <v>43621</v>
      </c>
      <c r="B141" s="44">
        <v>118</v>
      </c>
    </row>
    <row r="142" spans="1:2" x14ac:dyDescent="0.25">
      <c r="A142" s="42">
        <v>43635</v>
      </c>
      <c r="B142" s="44">
        <v>30</v>
      </c>
    </row>
    <row r="143" spans="1:2" x14ac:dyDescent="0.25">
      <c r="A143" s="42">
        <v>43649</v>
      </c>
      <c r="B143" s="44">
        <v>24</v>
      </c>
    </row>
    <row r="144" spans="1:2" x14ac:dyDescent="0.25">
      <c r="A144" s="42">
        <v>43663</v>
      </c>
      <c r="B144" s="44">
        <v>20</v>
      </c>
    </row>
    <row r="145" spans="1:2" x14ac:dyDescent="0.25">
      <c r="A145" s="42">
        <v>43677</v>
      </c>
      <c r="B145" s="44">
        <v>4</v>
      </c>
    </row>
    <row r="146" spans="1:2" x14ac:dyDescent="0.25">
      <c r="A146" s="42">
        <v>43691</v>
      </c>
      <c r="B146" s="44">
        <v>52</v>
      </c>
    </row>
    <row r="147" spans="1:2" x14ac:dyDescent="0.25">
      <c r="A147" s="42">
        <v>43705</v>
      </c>
      <c r="B147" s="44">
        <v>18</v>
      </c>
    </row>
    <row r="148" spans="1:2" x14ac:dyDescent="0.25">
      <c r="A148" s="42">
        <v>43747</v>
      </c>
      <c r="B148" s="44">
        <v>20</v>
      </c>
    </row>
    <row r="149" spans="1:2" x14ac:dyDescent="0.25">
      <c r="A149" s="42">
        <v>43761</v>
      </c>
      <c r="B149" s="41">
        <v>0.66666666699999999</v>
      </c>
    </row>
    <row r="150" spans="1:2" x14ac:dyDescent="0.25">
      <c r="A150" s="42">
        <v>43775</v>
      </c>
      <c r="B150" s="44">
        <v>14</v>
      </c>
    </row>
    <row r="151" spans="1:2" x14ac:dyDescent="0.25">
      <c r="A151" s="42">
        <v>43789</v>
      </c>
      <c r="B151" s="44">
        <v>4</v>
      </c>
    </row>
    <row r="152" spans="1:2" x14ac:dyDescent="0.25">
      <c r="A152" s="42">
        <v>43789</v>
      </c>
      <c r="B152" s="41">
        <v>0.66666666699999999</v>
      </c>
    </row>
    <row r="153" spans="1:2" x14ac:dyDescent="0.25">
      <c r="A153" s="46">
        <v>43804</v>
      </c>
      <c r="B153" s="44">
        <v>6</v>
      </c>
    </row>
    <row r="154" spans="1:2" x14ac:dyDescent="0.25">
      <c r="A154" s="46">
        <v>43817</v>
      </c>
      <c r="B154" s="44">
        <v>8</v>
      </c>
    </row>
    <row r="155" spans="1:2" x14ac:dyDescent="0.25">
      <c r="A155" s="46">
        <v>43828</v>
      </c>
      <c r="B155" s="44">
        <v>2</v>
      </c>
    </row>
    <row r="156" spans="1:2" x14ac:dyDescent="0.25">
      <c r="A156" s="46">
        <v>43845</v>
      </c>
      <c r="B156" s="44">
        <v>0.66666599999999998</v>
      </c>
    </row>
    <row r="157" spans="1:2" x14ac:dyDescent="0.25">
      <c r="A157" s="46">
        <v>43859</v>
      </c>
      <c r="B157" s="44">
        <v>6</v>
      </c>
    </row>
    <row r="158" spans="1:2" x14ac:dyDescent="0.25">
      <c r="A158" s="46">
        <v>43873</v>
      </c>
      <c r="B158" s="44">
        <v>2</v>
      </c>
    </row>
    <row r="159" spans="1:2" x14ac:dyDescent="0.25">
      <c r="A159" s="46">
        <v>43887</v>
      </c>
      <c r="B159" s="44">
        <v>0.66666599999999998</v>
      </c>
    </row>
    <row r="160" spans="1:2" x14ac:dyDescent="0.25">
      <c r="A160" s="46">
        <v>43901</v>
      </c>
      <c r="B160" s="44">
        <v>0.66666599999999998</v>
      </c>
    </row>
    <row r="161" spans="1:2" x14ac:dyDescent="0.25">
      <c r="A161" s="46">
        <v>43985</v>
      </c>
      <c r="B161" s="41">
        <v>0.22184874961635634</v>
      </c>
    </row>
    <row r="162" spans="1:2" x14ac:dyDescent="0.25">
      <c r="A162" s="46">
        <v>43999</v>
      </c>
      <c r="B162" s="44">
        <v>2</v>
      </c>
    </row>
    <row r="163" spans="1:2" x14ac:dyDescent="0.25">
      <c r="A163" s="46">
        <v>44013</v>
      </c>
      <c r="B163" s="41">
        <v>0.22184874961635634</v>
      </c>
    </row>
    <row r="164" spans="1:2" x14ac:dyDescent="0.25">
      <c r="A164" s="46">
        <v>44027</v>
      </c>
      <c r="B164" s="44">
        <v>10</v>
      </c>
    </row>
    <row r="165" spans="1:2" x14ac:dyDescent="0.25">
      <c r="A165" s="46">
        <v>44041</v>
      </c>
      <c r="B165" s="41">
        <v>0.22184874961635634</v>
      </c>
    </row>
    <row r="166" spans="1:2" x14ac:dyDescent="0.25">
      <c r="A166" s="46">
        <v>44059</v>
      </c>
      <c r="B166" s="44">
        <v>2</v>
      </c>
    </row>
    <row r="167" spans="1:2" x14ac:dyDescent="0.25">
      <c r="A167" s="46">
        <v>44069</v>
      </c>
      <c r="B167" s="44">
        <v>12</v>
      </c>
    </row>
    <row r="168" spans="1:2" x14ac:dyDescent="0.25">
      <c r="A168" s="46">
        <v>44083</v>
      </c>
      <c r="B168" s="41">
        <v>0.22184874961635634</v>
      </c>
    </row>
    <row r="169" spans="1:2" x14ac:dyDescent="0.25">
      <c r="A169" s="46">
        <v>44097</v>
      </c>
      <c r="B169" s="41">
        <v>0.22184874961635634</v>
      </c>
    </row>
    <row r="170" spans="1:2" x14ac:dyDescent="0.25">
      <c r="A170" s="46">
        <v>44111</v>
      </c>
      <c r="B170" s="41">
        <v>0.22184874961635634</v>
      </c>
    </row>
    <row r="171" spans="1:2" x14ac:dyDescent="0.25">
      <c r="A171" s="46">
        <v>44125</v>
      </c>
      <c r="B171" s="44">
        <f>2/3</f>
        <v>0.66666666666666663</v>
      </c>
    </row>
    <row r="172" spans="1:2" x14ac:dyDescent="0.25">
      <c r="A172" s="46">
        <v>44139</v>
      </c>
      <c r="B172" s="41">
        <v>2</v>
      </c>
    </row>
    <row r="173" spans="1:2" x14ac:dyDescent="0.25">
      <c r="A173" s="46">
        <v>44153</v>
      </c>
      <c r="B173" s="44">
        <f>2/3</f>
        <v>0.66666666666666663</v>
      </c>
    </row>
    <row r="174" spans="1:2" x14ac:dyDescent="0.25">
      <c r="A174" s="46">
        <v>44167</v>
      </c>
      <c r="B174" s="44">
        <f>2/3</f>
        <v>0.66666666666666663</v>
      </c>
    </row>
    <row r="175" spans="1:2" x14ac:dyDescent="0.25">
      <c r="A175" s="46">
        <v>44178</v>
      </c>
      <c r="B175" s="44">
        <v>6</v>
      </c>
    </row>
    <row r="176" spans="1:2" x14ac:dyDescent="0.25">
      <c r="A176" s="46">
        <v>44195</v>
      </c>
      <c r="B176" s="44">
        <f>2/3</f>
        <v>0.66666666666666663</v>
      </c>
    </row>
    <row r="177" spans="1:2" x14ac:dyDescent="0.25">
      <c r="A177" s="46">
        <v>44209</v>
      </c>
      <c r="B177" s="44">
        <f>2/3</f>
        <v>0.66666666666666663</v>
      </c>
    </row>
    <row r="178" spans="1:2" x14ac:dyDescent="0.25">
      <c r="A178" s="46">
        <v>44223</v>
      </c>
      <c r="B178" s="44">
        <f>2/3</f>
        <v>0.66666666666666663</v>
      </c>
    </row>
    <row r="179" spans="1:2" x14ac:dyDescent="0.25">
      <c r="A179" s="46">
        <v>44237</v>
      </c>
      <c r="B179" s="44">
        <v>2</v>
      </c>
    </row>
    <row r="180" spans="1:2" x14ac:dyDescent="0.25">
      <c r="A180" s="46">
        <v>44265</v>
      </c>
      <c r="B180" s="44">
        <v>18</v>
      </c>
    </row>
    <row r="181" spans="1:2" x14ac:dyDescent="0.25">
      <c r="A181" s="46">
        <v>44293</v>
      </c>
      <c r="B181" s="44">
        <v>2</v>
      </c>
    </row>
    <row r="182" spans="1:2" x14ac:dyDescent="0.25">
      <c r="A182" s="46">
        <v>44307</v>
      </c>
      <c r="B182" s="44">
        <v>8</v>
      </c>
    </row>
    <row r="183" spans="1:2" x14ac:dyDescent="0.25">
      <c r="A183" s="46">
        <v>44321</v>
      </c>
      <c r="B183" s="44">
        <v>90</v>
      </c>
    </row>
    <row r="184" spans="1:2" x14ac:dyDescent="0.25">
      <c r="A184" s="46">
        <v>44349</v>
      </c>
      <c r="B184" s="44">
        <v>2</v>
      </c>
    </row>
    <row r="185" spans="1:2" x14ac:dyDescent="0.25">
      <c r="A185" s="46">
        <v>44405</v>
      </c>
      <c r="B185" s="44">
        <v>76</v>
      </c>
    </row>
    <row r="186" spans="1:2" x14ac:dyDescent="0.25">
      <c r="A186" s="46">
        <v>44433</v>
      </c>
      <c r="B186" s="44">
        <v>6</v>
      </c>
    </row>
    <row r="187" spans="1:2" x14ac:dyDescent="0.25">
      <c r="A187" s="46">
        <v>44447</v>
      </c>
    </row>
    <row r="188" spans="1:2" x14ac:dyDescent="0.25">
      <c r="A188" s="46">
        <v>44461</v>
      </c>
      <c r="B188" s="44">
        <f>2/3</f>
        <v>0.66666666666666663</v>
      </c>
    </row>
    <row r="189" spans="1:2" x14ac:dyDescent="0.25">
      <c r="A189" s="46">
        <v>44474</v>
      </c>
      <c r="B189" s="44">
        <f>200*3</f>
        <v>600</v>
      </c>
    </row>
    <row r="190" spans="1:2" x14ac:dyDescent="0.25">
      <c r="A190" s="46">
        <v>44517</v>
      </c>
      <c r="B190" s="44">
        <v>1305</v>
      </c>
    </row>
    <row r="191" spans="1:2" x14ac:dyDescent="0.25">
      <c r="A191" s="46">
        <v>44573</v>
      </c>
      <c r="B191" s="44">
        <f>1000*3</f>
        <v>3000</v>
      </c>
    </row>
    <row r="192" spans="1:2" x14ac:dyDescent="0.25">
      <c r="A192" s="46">
        <v>44587</v>
      </c>
      <c r="B192" s="44">
        <v>50</v>
      </c>
    </row>
    <row r="193" spans="1:2" x14ac:dyDescent="0.25">
      <c r="A193" s="46">
        <v>44601</v>
      </c>
      <c r="B193" s="44">
        <v>120</v>
      </c>
    </row>
    <row r="194" spans="1:2" x14ac:dyDescent="0.25">
      <c r="A194" s="46">
        <v>44629</v>
      </c>
      <c r="B194" s="44">
        <f>10/3</f>
        <v>3.3333333333333335</v>
      </c>
    </row>
    <row r="195" spans="1:2" x14ac:dyDescent="0.25">
      <c r="A195" s="46">
        <v>44685</v>
      </c>
      <c r="B195" s="44">
        <v>10</v>
      </c>
    </row>
    <row r="196" spans="1:2" x14ac:dyDescent="0.25">
      <c r="A196" s="46">
        <v>44700</v>
      </c>
      <c r="B196" s="44">
        <v>4</v>
      </c>
    </row>
    <row r="197" spans="1:2" x14ac:dyDescent="0.25">
      <c r="A197" s="46">
        <v>44713</v>
      </c>
      <c r="B197" s="44">
        <v>13</v>
      </c>
    </row>
    <row r="198" spans="1:2" x14ac:dyDescent="0.25">
      <c r="A198" s="46">
        <v>44727</v>
      </c>
      <c r="B198" s="44">
        <v>10</v>
      </c>
    </row>
    <row r="199" spans="1:2" x14ac:dyDescent="0.25">
      <c r="A199" s="46">
        <v>44741</v>
      </c>
      <c r="B199" s="44">
        <f>1/3</f>
        <v>0.33333333333333331</v>
      </c>
    </row>
    <row r="200" spans="1:2" x14ac:dyDescent="0.25">
      <c r="A200" s="46">
        <v>44755</v>
      </c>
      <c r="B200" s="44">
        <v>21</v>
      </c>
    </row>
    <row r="201" spans="1:2" x14ac:dyDescent="0.25">
      <c r="A201" s="46">
        <v>44769</v>
      </c>
      <c r="B201" s="44">
        <f>1/3</f>
        <v>0.33333333333333331</v>
      </c>
    </row>
    <row r="202" spans="1:2" x14ac:dyDescent="0.25">
      <c r="A202" s="46">
        <v>44797</v>
      </c>
      <c r="B202" s="44">
        <f>1/3</f>
        <v>0.33333333333333331</v>
      </c>
    </row>
    <row r="203" spans="1:2" x14ac:dyDescent="0.25">
      <c r="A203" s="46">
        <v>44825</v>
      </c>
      <c r="B203" s="44">
        <f>10/3</f>
        <v>3.3333333333333335</v>
      </c>
    </row>
    <row r="204" spans="1:2" x14ac:dyDescent="0.25">
      <c r="A204" s="46">
        <v>44928</v>
      </c>
      <c r="B204" s="44">
        <v>326</v>
      </c>
    </row>
    <row r="205" spans="1:2" x14ac:dyDescent="0.25">
      <c r="A205" s="46">
        <v>44937</v>
      </c>
      <c r="B205" s="44">
        <v>58</v>
      </c>
    </row>
    <row r="206" spans="1:2" x14ac:dyDescent="0.25">
      <c r="A206" s="46">
        <v>44951</v>
      </c>
      <c r="B206" s="44">
        <v>2420</v>
      </c>
    </row>
    <row r="207" spans="1:2" x14ac:dyDescent="0.25">
      <c r="A207" s="46">
        <v>44993</v>
      </c>
      <c r="B207" s="44">
        <v>1046</v>
      </c>
    </row>
    <row r="208" spans="1:2" x14ac:dyDescent="0.25">
      <c r="A208" s="46">
        <v>45020</v>
      </c>
      <c r="B208" s="44">
        <v>1120</v>
      </c>
    </row>
    <row r="209" spans="1:2" x14ac:dyDescent="0.25">
      <c r="A209" s="46">
        <v>45022</v>
      </c>
      <c r="B209" s="44">
        <v>1120</v>
      </c>
    </row>
    <row r="210" spans="1:2" x14ac:dyDescent="0.25">
      <c r="A210" s="46">
        <v>45036</v>
      </c>
      <c r="B210" s="44">
        <v>1120</v>
      </c>
    </row>
    <row r="211" spans="1:2" x14ac:dyDescent="0.25">
      <c r="A211" s="46">
        <v>45058</v>
      </c>
      <c r="B211" s="44">
        <v>41</v>
      </c>
    </row>
    <row r="212" spans="1:2" x14ac:dyDescent="0.25">
      <c r="A212" s="46">
        <v>45063</v>
      </c>
      <c r="B212" s="44">
        <v>41</v>
      </c>
    </row>
    <row r="213" spans="1:2" x14ac:dyDescent="0.25">
      <c r="A213" s="46">
        <v>45091</v>
      </c>
      <c r="B213" s="44">
        <v>548</v>
      </c>
    </row>
    <row r="214" spans="1:2" x14ac:dyDescent="0.25">
      <c r="A214" s="46">
        <v>45105</v>
      </c>
      <c r="B214" s="44">
        <v>270</v>
      </c>
    </row>
    <row r="215" spans="1:2" x14ac:dyDescent="0.25">
      <c r="A215" s="46">
        <v>45119</v>
      </c>
      <c r="B215" s="44">
        <f>3*2420</f>
        <v>7260</v>
      </c>
    </row>
    <row r="216" spans="1:2" x14ac:dyDescent="0.25">
      <c r="A216" s="46">
        <v>45133</v>
      </c>
      <c r="B216" s="44">
        <f>10/3</f>
        <v>3.3333333333333335</v>
      </c>
    </row>
    <row r="217" spans="1:2" x14ac:dyDescent="0.25">
      <c r="A217" s="46">
        <v>45151</v>
      </c>
      <c r="B217" s="44">
        <v>24</v>
      </c>
    </row>
    <row r="218" spans="1:2" x14ac:dyDescent="0.25">
      <c r="A218" s="46">
        <v>45161</v>
      </c>
      <c r="B218" s="44">
        <v>211</v>
      </c>
    </row>
    <row r="219" spans="1:2" x14ac:dyDescent="0.25">
      <c r="A219" s="46">
        <v>45175</v>
      </c>
      <c r="B219" s="44">
        <v>225</v>
      </c>
    </row>
    <row r="220" spans="1:2" x14ac:dyDescent="0.25">
      <c r="A220" s="46">
        <v>45189</v>
      </c>
      <c r="B220" s="44">
        <v>159</v>
      </c>
    </row>
    <row r="221" spans="1:2" x14ac:dyDescent="0.25">
      <c r="A221" s="46">
        <v>45218</v>
      </c>
      <c r="B221" s="44">
        <v>291</v>
      </c>
    </row>
    <row r="222" spans="1:2" x14ac:dyDescent="0.25">
      <c r="A222" s="46">
        <v>45231</v>
      </c>
      <c r="B222" s="44">
        <v>57</v>
      </c>
    </row>
    <row r="223" spans="1:2" x14ac:dyDescent="0.25">
      <c r="A223" s="46">
        <v>45245</v>
      </c>
      <c r="B223" s="45">
        <v>43</v>
      </c>
    </row>
    <row r="224" spans="1:2" x14ac:dyDescent="0.25">
      <c r="A224" s="46">
        <v>45259</v>
      </c>
      <c r="B224" s="45">
        <v>816</v>
      </c>
    </row>
    <row r="225" spans="1:2" x14ac:dyDescent="0.25">
      <c r="A225" s="46">
        <v>45329</v>
      </c>
      <c r="B225" s="45">
        <f>10/3</f>
        <v>3.3333333333333335</v>
      </c>
    </row>
    <row r="226" spans="1:2" x14ac:dyDescent="0.25">
      <c r="A226" s="46">
        <v>45343</v>
      </c>
      <c r="B226" s="45">
        <f>10/3</f>
        <v>3.3333333333333335</v>
      </c>
    </row>
    <row r="227" spans="1:2" x14ac:dyDescent="0.25">
      <c r="A227" s="46">
        <v>45344</v>
      </c>
      <c r="B227" s="45">
        <f>10/3</f>
        <v>3.3333333333333335</v>
      </c>
    </row>
    <row r="228" spans="1:2" x14ac:dyDescent="0.25">
      <c r="A228" s="46">
        <v>45345</v>
      </c>
      <c r="B228" s="45">
        <f>10/3</f>
        <v>3.3333333333333335</v>
      </c>
    </row>
    <row r="229" spans="1:2" x14ac:dyDescent="0.25">
      <c r="A229" s="46">
        <v>45346</v>
      </c>
      <c r="B229" s="45">
        <f>10/3</f>
        <v>3.3333333333333335</v>
      </c>
    </row>
    <row r="230" spans="1:2" x14ac:dyDescent="0.25">
      <c r="A230" s="46">
        <v>45347</v>
      </c>
      <c r="B230" s="45">
        <f>10/3</f>
        <v>3.3333333333333335</v>
      </c>
    </row>
    <row r="231" spans="1:2" x14ac:dyDescent="0.25">
      <c r="A231" s="46">
        <v>45348</v>
      </c>
      <c r="B231" s="45">
        <f>10/3</f>
        <v>3.3333333333333335</v>
      </c>
    </row>
    <row r="232" spans="1:2" x14ac:dyDescent="0.25">
      <c r="A232" s="46">
        <v>45349</v>
      </c>
      <c r="B232" s="45">
        <f>10/3</f>
        <v>3.3333333333333335</v>
      </c>
    </row>
    <row r="233" spans="1:2" x14ac:dyDescent="0.25">
      <c r="A233" s="46">
        <v>45350</v>
      </c>
      <c r="B233" s="45">
        <f>10/3</f>
        <v>3.3333333333333335</v>
      </c>
    </row>
    <row r="234" spans="1:2" x14ac:dyDescent="0.25">
      <c r="A234" s="46">
        <v>45351</v>
      </c>
      <c r="B234" s="45">
        <f>10/3</f>
        <v>3.3333333333333335</v>
      </c>
    </row>
    <row r="235" spans="1:2" x14ac:dyDescent="0.25">
      <c r="A235" s="46">
        <v>45352</v>
      </c>
      <c r="B235" s="45">
        <f>10/3</f>
        <v>3.3333333333333335</v>
      </c>
    </row>
    <row r="236" spans="1:2" x14ac:dyDescent="0.25">
      <c r="A236" s="46">
        <v>45353</v>
      </c>
      <c r="B236" s="45">
        <f>10/3</f>
        <v>3.3333333333333335</v>
      </c>
    </row>
    <row r="237" spans="1:2" x14ac:dyDescent="0.25">
      <c r="A237" s="46">
        <v>45354</v>
      </c>
      <c r="B237" s="45">
        <f>10/3</f>
        <v>3.3333333333333335</v>
      </c>
    </row>
    <row r="238" spans="1:2" x14ac:dyDescent="0.25">
      <c r="A238" s="46">
        <v>45355</v>
      </c>
      <c r="B238" s="45">
        <f>10/3</f>
        <v>3.3333333333333335</v>
      </c>
    </row>
    <row r="239" spans="1:2" x14ac:dyDescent="0.25">
      <c r="A239" s="46">
        <v>45356</v>
      </c>
      <c r="B239" s="45">
        <f>10/3</f>
        <v>3.3333333333333335</v>
      </c>
    </row>
    <row r="240" spans="1:2" x14ac:dyDescent="0.25">
      <c r="A240" s="46">
        <v>45357</v>
      </c>
      <c r="B240" s="45">
        <f>10/3</f>
        <v>3.3333333333333335</v>
      </c>
    </row>
    <row r="241" spans="1:2" x14ac:dyDescent="0.25">
      <c r="A241" s="46">
        <v>45358</v>
      </c>
      <c r="B241" s="45">
        <f>10/3</f>
        <v>3.3333333333333335</v>
      </c>
    </row>
    <row r="242" spans="1:2" x14ac:dyDescent="0.25">
      <c r="A242" s="46">
        <v>45359</v>
      </c>
      <c r="B242" s="45">
        <f>10/3</f>
        <v>3.3333333333333335</v>
      </c>
    </row>
    <row r="243" spans="1:2" x14ac:dyDescent="0.25">
      <c r="A243" s="46">
        <v>45360</v>
      </c>
      <c r="B243" s="45">
        <f>10/3</f>
        <v>3.3333333333333335</v>
      </c>
    </row>
    <row r="244" spans="1:2" x14ac:dyDescent="0.25">
      <c r="A244" s="46">
        <v>45361</v>
      </c>
      <c r="B244" s="45">
        <f>10/3</f>
        <v>3.3333333333333335</v>
      </c>
    </row>
    <row r="245" spans="1:2" x14ac:dyDescent="0.25">
      <c r="A245" s="46">
        <v>45362</v>
      </c>
      <c r="B245" s="45">
        <f>10/3</f>
        <v>3.3333333333333335</v>
      </c>
    </row>
    <row r="246" spans="1:2" x14ac:dyDescent="0.25">
      <c r="A246" s="46">
        <v>45363</v>
      </c>
      <c r="B246" s="45">
        <f>10/3</f>
        <v>3.3333333333333335</v>
      </c>
    </row>
    <row r="247" spans="1:2" x14ac:dyDescent="0.25">
      <c r="A247" s="46">
        <v>45364</v>
      </c>
      <c r="B247" s="45">
        <f>10/3</f>
        <v>3.3333333333333335</v>
      </c>
    </row>
    <row r="248" spans="1:2" x14ac:dyDescent="0.25">
      <c r="A248" s="46">
        <v>45365</v>
      </c>
      <c r="B248" s="45">
        <f>10/3</f>
        <v>3.3333333333333335</v>
      </c>
    </row>
    <row r="249" spans="1:2" x14ac:dyDescent="0.25">
      <c r="A249" s="46">
        <v>45366</v>
      </c>
      <c r="B249" s="45">
        <f>10/3</f>
        <v>3.3333333333333335</v>
      </c>
    </row>
    <row r="250" spans="1:2" x14ac:dyDescent="0.25">
      <c r="A250" s="46">
        <v>45367</v>
      </c>
      <c r="B250" s="45">
        <f>10/3</f>
        <v>3.3333333333333335</v>
      </c>
    </row>
    <row r="251" spans="1:2" x14ac:dyDescent="0.25">
      <c r="A251" s="46">
        <v>45368</v>
      </c>
      <c r="B251" s="45">
        <f>10/3</f>
        <v>3.3333333333333335</v>
      </c>
    </row>
    <row r="252" spans="1:2" x14ac:dyDescent="0.25">
      <c r="A252" s="46">
        <v>45369</v>
      </c>
      <c r="B252" s="45">
        <f>10/3</f>
        <v>3.3333333333333335</v>
      </c>
    </row>
    <row r="253" spans="1:2" x14ac:dyDescent="0.25">
      <c r="A253" s="46">
        <v>45370</v>
      </c>
      <c r="B253" s="45">
        <f>10/3</f>
        <v>3.3333333333333335</v>
      </c>
    </row>
    <row r="254" spans="1:2" x14ac:dyDescent="0.25">
      <c r="A254" s="46">
        <v>45371</v>
      </c>
      <c r="B254" s="45">
        <f>10/3</f>
        <v>3.3333333333333335</v>
      </c>
    </row>
    <row r="255" spans="1:2" x14ac:dyDescent="0.25">
      <c r="A255" s="46">
        <v>45372</v>
      </c>
      <c r="B255" s="45">
        <f>10/3</f>
        <v>3.3333333333333335</v>
      </c>
    </row>
    <row r="256" spans="1:2" x14ac:dyDescent="0.25">
      <c r="A256" s="46">
        <v>45373</v>
      </c>
      <c r="B256" s="45">
        <f>10/3</f>
        <v>3.3333333333333335</v>
      </c>
    </row>
    <row r="257" spans="1:2" x14ac:dyDescent="0.25">
      <c r="A257" s="46">
        <v>45374</v>
      </c>
      <c r="B257" s="45">
        <f>10/3</f>
        <v>3.3333333333333335</v>
      </c>
    </row>
    <row r="258" spans="1:2" x14ac:dyDescent="0.25">
      <c r="A258" s="46">
        <v>45375</v>
      </c>
      <c r="B258" s="45">
        <f>10/3</f>
        <v>3.3333333333333335</v>
      </c>
    </row>
    <row r="259" spans="1:2" x14ac:dyDescent="0.25">
      <c r="A259" s="46">
        <v>45376</v>
      </c>
      <c r="B259" s="45">
        <f>10/3</f>
        <v>3.3333333333333335</v>
      </c>
    </row>
    <row r="260" spans="1:2" x14ac:dyDescent="0.25">
      <c r="A260" s="46">
        <v>45377</v>
      </c>
      <c r="B260" s="45">
        <f>10/3</f>
        <v>3.3333333333333335</v>
      </c>
    </row>
    <row r="261" spans="1:2" x14ac:dyDescent="0.25">
      <c r="A261" s="46">
        <v>45378</v>
      </c>
      <c r="B261" s="45">
        <f>10/3</f>
        <v>3.3333333333333335</v>
      </c>
    </row>
    <row r="262" spans="1:2" x14ac:dyDescent="0.25">
      <c r="A262" s="46">
        <v>45379</v>
      </c>
      <c r="B262" s="45">
        <f>10/3</f>
        <v>3.3333333333333335</v>
      </c>
    </row>
    <row r="263" spans="1:2" x14ac:dyDescent="0.25">
      <c r="A263" s="46">
        <v>45380</v>
      </c>
      <c r="B263" s="45">
        <f>10/3</f>
        <v>3.3333333333333335</v>
      </c>
    </row>
    <row r="264" spans="1:2" x14ac:dyDescent="0.25">
      <c r="A264" s="46">
        <v>45381</v>
      </c>
      <c r="B264" s="45">
        <f>10/3</f>
        <v>3.3333333333333335</v>
      </c>
    </row>
    <row r="265" spans="1:2" x14ac:dyDescent="0.25">
      <c r="A265" s="46">
        <v>45382</v>
      </c>
      <c r="B265" s="45">
        <f>10/3</f>
        <v>3.3333333333333335</v>
      </c>
    </row>
    <row r="266" spans="1:2" x14ac:dyDescent="0.25">
      <c r="A266" s="46">
        <v>45383</v>
      </c>
      <c r="B266" s="45">
        <f>10/3</f>
        <v>3.3333333333333335</v>
      </c>
    </row>
    <row r="267" spans="1:2" x14ac:dyDescent="0.25">
      <c r="A267" s="46">
        <v>45384</v>
      </c>
      <c r="B267" s="45">
        <f>10/3</f>
        <v>3.3333333333333335</v>
      </c>
    </row>
    <row r="268" spans="1:2" x14ac:dyDescent="0.25">
      <c r="A268" s="46">
        <v>45385</v>
      </c>
      <c r="B268" s="45">
        <f>10/3</f>
        <v>3.3333333333333335</v>
      </c>
    </row>
    <row r="269" spans="1:2" x14ac:dyDescent="0.25">
      <c r="A269" s="46">
        <v>45386</v>
      </c>
      <c r="B269" s="45">
        <f>10/3</f>
        <v>3.3333333333333335</v>
      </c>
    </row>
    <row r="270" spans="1:2" x14ac:dyDescent="0.25">
      <c r="A270" s="46">
        <v>45387</v>
      </c>
      <c r="B270" s="45">
        <f>10/3</f>
        <v>3.3333333333333335</v>
      </c>
    </row>
    <row r="271" spans="1:2" x14ac:dyDescent="0.25">
      <c r="A271" s="46">
        <v>45388</v>
      </c>
      <c r="B271" s="45">
        <f>10/3</f>
        <v>3.3333333333333335</v>
      </c>
    </row>
    <row r="272" spans="1:2" x14ac:dyDescent="0.25">
      <c r="A272" s="46">
        <v>45389</v>
      </c>
      <c r="B272" s="45">
        <f>10/3</f>
        <v>3.3333333333333335</v>
      </c>
    </row>
    <row r="273" spans="1:2" x14ac:dyDescent="0.25">
      <c r="A273" s="46">
        <v>45390</v>
      </c>
      <c r="B273" s="45">
        <f>10/3</f>
        <v>3.3333333333333335</v>
      </c>
    </row>
    <row r="274" spans="1:2" x14ac:dyDescent="0.25">
      <c r="A274" s="46">
        <v>45391</v>
      </c>
      <c r="B274" s="45">
        <f>10/3</f>
        <v>3.3333333333333335</v>
      </c>
    </row>
    <row r="275" spans="1:2" x14ac:dyDescent="0.25">
      <c r="A275" s="46">
        <v>45392</v>
      </c>
      <c r="B275" s="45">
        <f>10/3</f>
        <v>3.3333333333333335</v>
      </c>
    </row>
    <row r="276" spans="1:2" x14ac:dyDescent="0.25">
      <c r="A276" s="46">
        <v>45393</v>
      </c>
      <c r="B276" s="45">
        <f>10/3</f>
        <v>3.3333333333333335</v>
      </c>
    </row>
    <row r="277" spans="1:2" x14ac:dyDescent="0.25">
      <c r="A277" s="46">
        <v>45394</v>
      </c>
      <c r="B277" s="45">
        <f>10/3</f>
        <v>3.3333333333333335</v>
      </c>
    </row>
    <row r="278" spans="1:2" x14ac:dyDescent="0.25">
      <c r="A278" s="46">
        <v>45395</v>
      </c>
      <c r="B278" s="45">
        <f>10/3</f>
        <v>3.3333333333333335</v>
      </c>
    </row>
    <row r="279" spans="1:2" x14ac:dyDescent="0.25">
      <c r="A279" s="46">
        <v>45396</v>
      </c>
      <c r="B279" s="45">
        <f>10/3</f>
        <v>3.3333333333333335</v>
      </c>
    </row>
    <row r="280" spans="1:2" x14ac:dyDescent="0.25">
      <c r="A280" s="46">
        <v>45397</v>
      </c>
      <c r="B280" s="45">
        <f>10/3</f>
        <v>3.3333333333333335</v>
      </c>
    </row>
    <row r="281" spans="1:2" x14ac:dyDescent="0.25">
      <c r="A281" s="46">
        <v>45398</v>
      </c>
      <c r="B281" s="45">
        <f>10/3</f>
        <v>3.3333333333333335</v>
      </c>
    </row>
    <row r="282" spans="1:2" x14ac:dyDescent="0.25">
      <c r="A282" s="46">
        <v>45399</v>
      </c>
      <c r="B282" s="45">
        <f>10/3</f>
        <v>3.3333333333333335</v>
      </c>
    </row>
    <row r="283" spans="1:2" x14ac:dyDescent="0.25">
      <c r="A283" s="46">
        <v>45400</v>
      </c>
      <c r="B283" s="45">
        <f>10/3</f>
        <v>3.3333333333333335</v>
      </c>
    </row>
    <row r="284" spans="1:2" x14ac:dyDescent="0.25">
      <c r="A284" s="46">
        <v>45401</v>
      </c>
      <c r="B284" s="45">
        <f>10/3</f>
        <v>3.3333333333333335</v>
      </c>
    </row>
    <row r="285" spans="1:2" x14ac:dyDescent="0.25">
      <c r="A285" s="46">
        <v>45402</v>
      </c>
      <c r="B285" s="45">
        <f>10/3</f>
        <v>3.3333333333333335</v>
      </c>
    </row>
    <row r="286" spans="1:2" x14ac:dyDescent="0.25">
      <c r="A286" s="46">
        <v>45403</v>
      </c>
      <c r="B286" s="45">
        <f>10/3</f>
        <v>3.3333333333333335</v>
      </c>
    </row>
    <row r="287" spans="1:2" x14ac:dyDescent="0.25">
      <c r="A287" s="46">
        <v>45404</v>
      </c>
      <c r="B287" s="45">
        <f>10/3</f>
        <v>3.3333333333333335</v>
      </c>
    </row>
    <row r="288" spans="1:2" x14ac:dyDescent="0.25">
      <c r="A288" s="46">
        <v>45405</v>
      </c>
      <c r="B288" s="45">
        <f>10/3</f>
        <v>3.3333333333333335</v>
      </c>
    </row>
    <row r="289" spans="1:2" x14ac:dyDescent="0.25">
      <c r="A289" s="46">
        <v>45406</v>
      </c>
      <c r="B289" s="45">
        <f>10/3</f>
        <v>3.3333333333333335</v>
      </c>
    </row>
    <row r="290" spans="1:2" x14ac:dyDescent="0.25">
      <c r="A290" s="46">
        <v>45407</v>
      </c>
      <c r="B290" s="45">
        <f>10/3</f>
        <v>3.3333333333333335</v>
      </c>
    </row>
    <row r="291" spans="1:2" x14ac:dyDescent="0.25">
      <c r="A291" s="46">
        <v>45408</v>
      </c>
      <c r="B291" s="45">
        <f>10/3</f>
        <v>3.3333333333333335</v>
      </c>
    </row>
    <row r="292" spans="1:2" x14ac:dyDescent="0.25">
      <c r="A292" s="46">
        <v>45409</v>
      </c>
      <c r="B292" s="45">
        <f>10/3</f>
        <v>3.3333333333333335</v>
      </c>
    </row>
    <row r="293" spans="1:2" x14ac:dyDescent="0.25">
      <c r="A293" s="46">
        <v>45410</v>
      </c>
      <c r="B293" s="45">
        <f>10/3</f>
        <v>3.3333333333333335</v>
      </c>
    </row>
    <row r="294" spans="1:2" x14ac:dyDescent="0.25">
      <c r="A294" s="46">
        <v>45411</v>
      </c>
      <c r="B294" s="45">
        <f>10/3</f>
        <v>3.3333333333333335</v>
      </c>
    </row>
    <row r="295" spans="1:2" x14ac:dyDescent="0.25">
      <c r="A295" s="46">
        <v>45412</v>
      </c>
      <c r="B295" s="45">
        <f>10/3</f>
        <v>3.3333333333333335</v>
      </c>
    </row>
    <row r="296" spans="1:2" x14ac:dyDescent="0.25">
      <c r="A296" s="46">
        <v>45413</v>
      </c>
      <c r="B296" s="45">
        <f>10/3</f>
        <v>3.3333333333333335</v>
      </c>
    </row>
    <row r="297" spans="1:2" x14ac:dyDescent="0.25">
      <c r="A297" s="46">
        <v>45414</v>
      </c>
      <c r="B297" s="45">
        <f>10/3</f>
        <v>3.3333333333333335</v>
      </c>
    </row>
    <row r="298" spans="1:2" x14ac:dyDescent="0.25">
      <c r="A298" s="46">
        <v>45415</v>
      </c>
      <c r="B298" s="45">
        <f>10/3</f>
        <v>3.3333333333333335</v>
      </c>
    </row>
    <row r="299" spans="1:2" x14ac:dyDescent="0.25">
      <c r="A299" s="46">
        <v>45416</v>
      </c>
      <c r="B299" s="45">
        <f>10/3</f>
        <v>3.3333333333333335</v>
      </c>
    </row>
    <row r="300" spans="1:2" x14ac:dyDescent="0.25">
      <c r="A300" s="46">
        <v>45417</v>
      </c>
      <c r="B300" s="45">
        <f>10/3</f>
        <v>3.3333333333333335</v>
      </c>
    </row>
    <row r="301" spans="1:2" x14ac:dyDescent="0.25">
      <c r="A301" s="46">
        <v>45418</v>
      </c>
      <c r="B301" s="45">
        <f>10/3</f>
        <v>3.3333333333333335</v>
      </c>
    </row>
    <row r="302" spans="1:2" x14ac:dyDescent="0.25">
      <c r="A302" s="46">
        <v>45419</v>
      </c>
      <c r="B302" s="45">
        <f>10/3</f>
        <v>3.3333333333333335</v>
      </c>
    </row>
    <row r="303" spans="1:2" x14ac:dyDescent="0.25">
      <c r="A303" s="46">
        <v>45420</v>
      </c>
      <c r="B303" s="45">
        <f>10/3</f>
        <v>3.3333333333333335</v>
      </c>
    </row>
    <row r="304" spans="1:2" x14ac:dyDescent="0.25">
      <c r="A304" s="46">
        <v>45421</v>
      </c>
      <c r="B304" s="45">
        <f>10/3</f>
        <v>3.3333333333333335</v>
      </c>
    </row>
    <row r="305" spans="1:2" x14ac:dyDescent="0.25">
      <c r="A305" s="46">
        <v>45422</v>
      </c>
      <c r="B305" s="45">
        <f>10/3</f>
        <v>3.3333333333333335</v>
      </c>
    </row>
    <row r="306" spans="1:2" x14ac:dyDescent="0.25">
      <c r="A306" s="46">
        <v>45423</v>
      </c>
      <c r="B306" s="45">
        <f>10/3</f>
        <v>3.3333333333333335</v>
      </c>
    </row>
    <row r="307" spans="1:2" x14ac:dyDescent="0.25">
      <c r="A307" s="46">
        <v>45424</v>
      </c>
      <c r="B307" s="45">
        <f>10/3</f>
        <v>3.3333333333333335</v>
      </c>
    </row>
    <row r="308" spans="1:2" x14ac:dyDescent="0.25">
      <c r="A308" s="46">
        <v>45425</v>
      </c>
      <c r="B308" s="45">
        <f>10/3</f>
        <v>3.3333333333333335</v>
      </c>
    </row>
    <row r="309" spans="1:2" x14ac:dyDescent="0.25">
      <c r="A309" s="46">
        <v>45426</v>
      </c>
      <c r="B309" s="45">
        <f>10/3</f>
        <v>3.3333333333333335</v>
      </c>
    </row>
    <row r="310" spans="1:2" x14ac:dyDescent="0.25">
      <c r="A310" s="46">
        <v>45427</v>
      </c>
      <c r="B310" s="45">
        <f>10/3</f>
        <v>3.3333333333333335</v>
      </c>
    </row>
    <row r="311" spans="1:2" x14ac:dyDescent="0.25">
      <c r="A311" s="46">
        <v>45428</v>
      </c>
      <c r="B311" s="45">
        <f>10/3</f>
        <v>3.3333333333333335</v>
      </c>
    </row>
    <row r="312" spans="1:2" x14ac:dyDescent="0.25">
      <c r="A312" s="46">
        <v>45429</v>
      </c>
      <c r="B312" s="45">
        <f>10/3</f>
        <v>3.3333333333333335</v>
      </c>
    </row>
    <row r="313" spans="1:2" x14ac:dyDescent="0.25">
      <c r="A313" s="46">
        <v>45430</v>
      </c>
      <c r="B313" s="45">
        <f>10/3</f>
        <v>3.3333333333333335</v>
      </c>
    </row>
    <row r="314" spans="1:2" x14ac:dyDescent="0.25">
      <c r="A314" s="46">
        <v>45431</v>
      </c>
      <c r="B314" s="45">
        <f>10/3</f>
        <v>3.3333333333333335</v>
      </c>
    </row>
    <row r="315" spans="1:2" x14ac:dyDescent="0.25">
      <c r="A315" s="46">
        <v>45432</v>
      </c>
      <c r="B315" s="45">
        <f>10/3</f>
        <v>3.3333333333333335</v>
      </c>
    </row>
    <row r="316" spans="1:2" x14ac:dyDescent="0.25">
      <c r="A316" s="46">
        <v>45433</v>
      </c>
      <c r="B316" s="45">
        <f>10/3</f>
        <v>3.3333333333333335</v>
      </c>
    </row>
    <row r="317" spans="1:2" x14ac:dyDescent="0.25">
      <c r="A317" s="46">
        <v>45434</v>
      </c>
      <c r="B317" s="45">
        <f>10/3</f>
        <v>3.3333333333333335</v>
      </c>
    </row>
    <row r="318" spans="1:2" x14ac:dyDescent="0.25">
      <c r="A318" s="46">
        <v>45435</v>
      </c>
      <c r="B318" s="45">
        <f>10/3</f>
        <v>3.3333333333333335</v>
      </c>
    </row>
    <row r="319" spans="1:2" x14ac:dyDescent="0.25">
      <c r="A319" s="46">
        <v>45436</v>
      </c>
      <c r="B319" s="45">
        <f>10/3</f>
        <v>3.3333333333333335</v>
      </c>
    </row>
    <row r="320" spans="1:2" x14ac:dyDescent="0.25">
      <c r="A320" s="46">
        <v>45437</v>
      </c>
      <c r="B320" s="45">
        <f>10/3</f>
        <v>3.3333333333333335</v>
      </c>
    </row>
    <row r="321" spans="1:2" x14ac:dyDescent="0.25">
      <c r="A321" s="46">
        <v>45438</v>
      </c>
      <c r="B321" s="45">
        <f>10/3</f>
        <v>3.3333333333333335</v>
      </c>
    </row>
    <row r="322" spans="1:2" x14ac:dyDescent="0.25">
      <c r="A322" s="46">
        <v>45439</v>
      </c>
      <c r="B322" s="45">
        <f>10/3</f>
        <v>3.3333333333333335</v>
      </c>
    </row>
    <row r="323" spans="1:2" x14ac:dyDescent="0.25">
      <c r="A323" s="46">
        <v>45440</v>
      </c>
      <c r="B323" s="45">
        <f>10/3</f>
        <v>3.3333333333333335</v>
      </c>
    </row>
    <row r="324" spans="1:2" x14ac:dyDescent="0.25">
      <c r="A324" s="46">
        <v>45441</v>
      </c>
      <c r="B324" s="45">
        <f>10/3</f>
        <v>3.3333333333333335</v>
      </c>
    </row>
    <row r="325" spans="1:2" x14ac:dyDescent="0.25">
      <c r="A325" s="46">
        <v>45442</v>
      </c>
      <c r="B325" s="45">
        <f>10/3</f>
        <v>3.3333333333333335</v>
      </c>
    </row>
    <row r="326" spans="1:2" x14ac:dyDescent="0.25">
      <c r="A326" s="46">
        <v>45443</v>
      </c>
      <c r="B326" s="45">
        <f>10/3</f>
        <v>3.3333333333333335</v>
      </c>
    </row>
    <row r="327" spans="1:2" x14ac:dyDescent="0.25">
      <c r="A327" s="46">
        <v>45444</v>
      </c>
      <c r="B327" s="45">
        <f>10/3</f>
        <v>3.3333333333333335</v>
      </c>
    </row>
    <row r="328" spans="1:2" x14ac:dyDescent="0.25">
      <c r="A328" s="46">
        <v>45445</v>
      </c>
      <c r="B328" s="45">
        <f>10/3</f>
        <v>3.3333333333333335</v>
      </c>
    </row>
    <row r="329" spans="1:2" x14ac:dyDescent="0.25">
      <c r="A329" s="46">
        <v>45446</v>
      </c>
      <c r="B329" s="45">
        <f>10/3</f>
        <v>3.3333333333333335</v>
      </c>
    </row>
    <row r="330" spans="1:2" x14ac:dyDescent="0.25">
      <c r="A330" s="46">
        <v>45447</v>
      </c>
      <c r="B330" s="45">
        <f>10/3</f>
        <v>3.3333333333333335</v>
      </c>
    </row>
    <row r="331" spans="1:2" x14ac:dyDescent="0.25">
      <c r="A331" s="46">
        <v>45448</v>
      </c>
      <c r="B331" s="45">
        <f>10/3</f>
        <v>3.3333333333333335</v>
      </c>
    </row>
    <row r="332" spans="1:2" x14ac:dyDescent="0.25">
      <c r="A332" s="46">
        <v>45449</v>
      </c>
      <c r="B332" s="45">
        <f>10/3</f>
        <v>3.3333333333333335</v>
      </c>
    </row>
    <row r="333" spans="1:2" x14ac:dyDescent="0.25">
      <c r="A333" s="46">
        <v>45450</v>
      </c>
      <c r="B333" s="45">
        <f>10/3</f>
        <v>3.3333333333333335</v>
      </c>
    </row>
    <row r="334" spans="1:2" x14ac:dyDescent="0.25">
      <c r="A334" s="46">
        <v>45451</v>
      </c>
      <c r="B334" s="45">
        <f>10/3</f>
        <v>3.3333333333333335</v>
      </c>
    </row>
    <row r="335" spans="1:2" x14ac:dyDescent="0.25">
      <c r="A335" s="46">
        <v>45452</v>
      </c>
      <c r="B335" s="45">
        <f>10/3</f>
        <v>3.3333333333333335</v>
      </c>
    </row>
    <row r="336" spans="1:2" x14ac:dyDescent="0.25">
      <c r="A336" s="46">
        <v>45453</v>
      </c>
      <c r="B336" s="45">
        <f>10/3</f>
        <v>3.3333333333333335</v>
      </c>
    </row>
    <row r="337" spans="1:2" x14ac:dyDescent="0.25">
      <c r="A337" s="46">
        <v>45454</v>
      </c>
      <c r="B337" s="45">
        <f>10/3</f>
        <v>3.3333333333333335</v>
      </c>
    </row>
    <row r="338" spans="1:2" x14ac:dyDescent="0.25">
      <c r="A338" s="46">
        <v>45455</v>
      </c>
      <c r="B338" s="45">
        <f>10/3</f>
        <v>3.3333333333333335</v>
      </c>
    </row>
    <row r="339" spans="1:2" x14ac:dyDescent="0.25">
      <c r="A339" s="46">
        <v>45456</v>
      </c>
      <c r="B339" s="45">
        <f>10/3</f>
        <v>3.3333333333333335</v>
      </c>
    </row>
    <row r="340" spans="1:2" x14ac:dyDescent="0.25">
      <c r="A340" s="46">
        <v>45457</v>
      </c>
      <c r="B340" s="45">
        <f>10/3</f>
        <v>3.3333333333333335</v>
      </c>
    </row>
    <row r="341" spans="1:2" x14ac:dyDescent="0.25">
      <c r="A341" s="46">
        <v>45458</v>
      </c>
      <c r="B341" s="45">
        <f>10/3</f>
        <v>3.3333333333333335</v>
      </c>
    </row>
    <row r="342" spans="1:2" x14ac:dyDescent="0.25">
      <c r="A342" s="46">
        <v>45459</v>
      </c>
      <c r="B342" s="45">
        <f>10/3</f>
        <v>3.3333333333333335</v>
      </c>
    </row>
    <row r="343" spans="1:2" x14ac:dyDescent="0.25">
      <c r="A343" s="46">
        <v>45460</v>
      </c>
      <c r="B343" s="45">
        <f>10/3</f>
        <v>3.3333333333333335</v>
      </c>
    </row>
    <row r="344" spans="1:2" x14ac:dyDescent="0.25">
      <c r="A344" s="46">
        <v>45461</v>
      </c>
      <c r="B344" s="45">
        <f>10/3</f>
        <v>3.3333333333333335</v>
      </c>
    </row>
    <row r="345" spans="1:2" x14ac:dyDescent="0.25">
      <c r="A345" s="46">
        <v>45462</v>
      </c>
      <c r="B345" s="45">
        <f>10/3</f>
        <v>3.3333333333333335</v>
      </c>
    </row>
    <row r="346" spans="1:2" x14ac:dyDescent="0.25">
      <c r="A346" s="46">
        <v>45463</v>
      </c>
      <c r="B346" s="45">
        <f>10/3</f>
        <v>3.3333333333333335</v>
      </c>
    </row>
    <row r="347" spans="1:2" x14ac:dyDescent="0.25">
      <c r="A347" s="46">
        <v>45464</v>
      </c>
      <c r="B347" s="45">
        <f>10/3</f>
        <v>3.3333333333333335</v>
      </c>
    </row>
    <row r="348" spans="1:2" x14ac:dyDescent="0.25">
      <c r="A348" s="46">
        <v>45465</v>
      </c>
      <c r="B348" s="45">
        <f>10/3</f>
        <v>3.3333333333333335</v>
      </c>
    </row>
    <row r="349" spans="1:2" x14ac:dyDescent="0.25">
      <c r="A349" s="46">
        <v>45466</v>
      </c>
      <c r="B349" s="45">
        <f>10/3</f>
        <v>3.3333333333333335</v>
      </c>
    </row>
    <row r="350" spans="1:2" x14ac:dyDescent="0.25">
      <c r="A350" s="46">
        <v>45467</v>
      </c>
      <c r="B350" s="45">
        <f>10/3</f>
        <v>3.3333333333333335</v>
      </c>
    </row>
    <row r="351" spans="1:2" x14ac:dyDescent="0.25">
      <c r="A351" s="46">
        <v>45468</v>
      </c>
      <c r="B351" s="45">
        <f>10/3</f>
        <v>3.3333333333333335</v>
      </c>
    </row>
    <row r="352" spans="1:2" x14ac:dyDescent="0.25">
      <c r="A352" s="46">
        <v>45469</v>
      </c>
      <c r="B352" s="45">
        <f>10/3</f>
        <v>3.3333333333333335</v>
      </c>
    </row>
    <row r="353" spans="1:2" x14ac:dyDescent="0.25">
      <c r="A353" s="46">
        <v>45470</v>
      </c>
      <c r="B353" s="45">
        <f>10/3</f>
        <v>3.3333333333333335</v>
      </c>
    </row>
    <row r="354" spans="1:2" x14ac:dyDescent="0.25">
      <c r="A354" s="46">
        <v>45471</v>
      </c>
      <c r="B354" s="45">
        <f>10/3</f>
        <v>3.3333333333333335</v>
      </c>
    </row>
    <row r="355" spans="1:2" x14ac:dyDescent="0.25">
      <c r="A355" s="46">
        <v>45472</v>
      </c>
      <c r="B355" s="45">
        <f>10/3</f>
        <v>3.3333333333333335</v>
      </c>
    </row>
    <row r="356" spans="1:2" x14ac:dyDescent="0.25">
      <c r="A356" s="46">
        <v>45473</v>
      </c>
      <c r="B356" s="45">
        <f>10/3</f>
        <v>3.3333333333333335</v>
      </c>
    </row>
    <row r="357" spans="1:2" x14ac:dyDescent="0.25">
      <c r="A357" s="46">
        <v>45474</v>
      </c>
      <c r="B357" s="45">
        <f>10/3</f>
        <v>3.3333333333333335</v>
      </c>
    </row>
    <row r="358" spans="1:2" x14ac:dyDescent="0.25">
      <c r="A358" s="46">
        <v>45475</v>
      </c>
      <c r="B358" s="45">
        <f>10/3</f>
        <v>3.3333333333333335</v>
      </c>
    </row>
    <row r="359" spans="1:2" x14ac:dyDescent="0.25">
      <c r="A359" s="46">
        <v>45476</v>
      </c>
      <c r="B359" s="45">
        <f>10/3</f>
        <v>3.3333333333333335</v>
      </c>
    </row>
    <row r="360" spans="1:2" x14ac:dyDescent="0.25">
      <c r="A360" s="46">
        <v>45477</v>
      </c>
      <c r="B360" s="45">
        <f>10/3</f>
        <v>3.3333333333333335</v>
      </c>
    </row>
    <row r="361" spans="1:2" x14ac:dyDescent="0.25">
      <c r="A361" s="46">
        <v>45478</v>
      </c>
      <c r="B361" s="45">
        <f>10/3</f>
        <v>3.3333333333333335</v>
      </c>
    </row>
    <row r="362" spans="1:2" x14ac:dyDescent="0.25">
      <c r="A362" s="46">
        <v>45479</v>
      </c>
      <c r="B362" s="45">
        <f>10/3</f>
        <v>3.3333333333333335</v>
      </c>
    </row>
    <row r="363" spans="1:2" x14ac:dyDescent="0.25">
      <c r="A363" s="46">
        <v>45480</v>
      </c>
      <c r="B363" s="45">
        <f>10/3</f>
        <v>3.3333333333333335</v>
      </c>
    </row>
    <row r="364" spans="1:2" x14ac:dyDescent="0.25">
      <c r="A364" s="46">
        <v>45481</v>
      </c>
      <c r="B364" s="45">
        <f>10/3</f>
        <v>3.3333333333333335</v>
      </c>
    </row>
    <row r="365" spans="1:2" x14ac:dyDescent="0.25">
      <c r="A365" s="46">
        <v>45482</v>
      </c>
      <c r="B365" s="45">
        <f>10/3</f>
        <v>3.3333333333333335</v>
      </c>
    </row>
    <row r="366" spans="1:2" x14ac:dyDescent="0.25">
      <c r="A366" s="46">
        <v>45483</v>
      </c>
      <c r="B366" s="45">
        <f>10/3</f>
        <v>3.3333333333333335</v>
      </c>
    </row>
    <row r="367" spans="1:2" x14ac:dyDescent="0.25">
      <c r="A367" s="46">
        <v>45484</v>
      </c>
      <c r="B367" s="45">
        <f>10/3</f>
        <v>3.3333333333333335</v>
      </c>
    </row>
    <row r="368" spans="1:2" x14ac:dyDescent="0.25">
      <c r="A368" s="46">
        <v>45485</v>
      </c>
      <c r="B368" s="45">
        <f>10/3</f>
        <v>3.3333333333333335</v>
      </c>
    </row>
    <row r="369" spans="1:2" x14ac:dyDescent="0.25">
      <c r="A369" s="46">
        <v>45486</v>
      </c>
      <c r="B369" s="45">
        <f>10/3</f>
        <v>3.3333333333333335</v>
      </c>
    </row>
    <row r="370" spans="1:2" x14ac:dyDescent="0.25">
      <c r="A370" s="46">
        <v>45487</v>
      </c>
      <c r="B370" s="45">
        <f>10/3</f>
        <v>3.3333333333333335</v>
      </c>
    </row>
    <row r="371" spans="1:2" x14ac:dyDescent="0.25">
      <c r="A371" s="46">
        <v>45488</v>
      </c>
      <c r="B371" s="45">
        <f>10/3</f>
        <v>3.3333333333333335</v>
      </c>
    </row>
    <row r="372" spans="1:2" x14ac:dyDescent="0.25">
      <c r="A372" s="46">
        <v>45489</v>
      </c>
      <c r="B372" s="45">
        <f>10/3</f>
        <v>3.3333333333333335</v>
      </c>
    </row>
    <row r="373" spans="1:2" x14ac:dyDescent="0.25">
      <c r="A373" s="46">
        <v>45490</v>
      </c>
      <c r="B373" s="45">
        <f>10/3</f>
        <v>3.3333333333333335</v>
      </c>
    </row>
    <row r="374" spans="1:2" x14ac:dyDescent="0.25">
      <c r="A374" s="46">
        <v>45491</v>
      </c>
      <c r="B374" s="45">
        <f>10/3</f>
        <v>3.3333333333333335</v>
      </c>
    </row>
    <row r="375" spans="1:2" x14ac:dyDescent="0.25">
      <c r="A375" s="46">
        <v>45492</v>
      </c>
      <c r="B375" s="45">
        <f>10/3</f>
        <v>3.3333333333333335</v>
      </c>
    </row>
    <row r="376" spans="1:2" x14ac:dyDescent="0.25">
      <c r="A376" s="46">
        <v>45493</v>
      </c>
      <c r="B376" s="45">
        <f>10/3</f>
        <v>3.3333333333333335</v>
      </c>
    </row>
    <row r="377" spans="1:2" x14ac:dyDescent="0.25">
      <c r="A377" s="46">
        <v>45494</v>
      </c>
      <c r="B377" s="45">
        <f>10/3</f>
        <v>3.3333333333333335</v>
      </c>
    </row>
    <row r="378" spans="1:2" x14ac:dyDescent="0.25">
      <c r="A378" s="46">
        <v>45495</v>
      </c>
      <c r="B378" s="45">
        <f>10/3</f>
        <v>3.3333333333333335</v>
      </c>
    </row>
    <row r="379" spans="1:2" x14ac:dyDescent="0.25">
      <c r="A379" s="46">
        <v>45496</v>
      </c>
      <c r="B379" s="45">
        <f>10/3</f>
        <v>3.3333333333333335</v>
      </c>
    </row>
    <row r="380" spans="1:2" x14ac:dyDescent="0.25">
      <c r="A380" s="46">
        <v>45497</v>
      </c>
      <c r="B380" s="45">
        <f>10/3</f>
        <v>3.3333333333333335</v>
      </c>
    </row>
    <row r="381" spans="1:2" x14ac:dyDescent="0.25">
      <c r="A381" s="46">
        <v>45498</v>
      </c>
      <c r="B381" s="45">
        <f>10/3</f>
        <v>3.3333333333333335</v>
      </c>
    </row>
    <row r="382" spans="1:2" x14ac:dyDescent="0.25">
      <c r="A382" s="46">
        <v>45499</v>
      </c>
      <c r="B382" s="45">
        <f>10/3</f>
        <v>3.3333333333333335</v>
      </c>
    </row>
    <row r="383" spans="1:2" x14ac:dyDescent="0.25">
      <c r="A383" s="46">
        <v>45500</v>
      </c>
      <c r="B383" s="45">
        <f>10/3</f>
        <v>3.3333333333333335</v>
      </c>
    </row>
    <row r="384" spans="1:2" x14ac:dyDescent="0.25">
      <c r="A384" s="46">
        <v>45501</v>
      </c>
      <c r="B384" s="45">
        <f>10/3</f>
        <v>3.3333333333333335</v>
      </c>
    </row>
    <row r="385" spans="1:2" x14ac:dyDescent="0.25">
      <c r="A385" s="46">
        <v>45502</v>
      </c>
      <c r="B385" s="45">
        <f>10/3</f>
        <v>3.3333333333333335</v>
      </c>
    </row>
    <row r="386" spans="1:2" x14ac:dyDescent="0.25">
      <c r="A386" s="46">
        <v>45503</v>
      </c>
      <c r="B386" s="45">
        <f>10/3</f>
        <v>3.3333333333333335</v>
      </c>
    </row>
    <row r="387" spans="1:2" x14ac:dyDescent="0.25">
      <c r="A387" s="46">
        <v>45504</v>
      </c>
      <c r="B387" s="45">
        <f>10/3</f>
        <v>3.3333333333333335</v>
      </c>
    </row>
    <row r="388" spans="1:2" x14ac:dyDescent="0.25">
      <c r="A388" s="46">
        <v>45505</v>
      </c>
      <c r="B388" s="45">
        <f>10/3</f>
        <v>3.3333333333333335</v>
      </c>
    </row>
    <row r="389" spans="1:2" x14ac:dyDescent="0.25">
      <c r="A389" s="46">
        <v>45505</v>
      </c>
      <c r="B389" s="44">
        <f>10/3</f>
        <v>3.3333333333333335</v>
      </c>
    </row>
    <row r="390" spans="1:2" x14ac:dyDescent="0.25">
      <c r="A390" s="46">
        <v>45506</v>
      </c>
      <c r="B390" s="45">
        <f>10/3</f>
        <v>3.3333333333333335</v>
      </c>
    </row>
    <row r="391" spans="1:2" x14ac:dyDescent="0.25">
      <c r="A391" s="46">
        <v>45507</v>
      </c>
      <c r="B391" s="45">
        <f>10/3</f>
        <v>3.3333333333333335</v>
      </c>
    </row>
    <row r="392" spans="1:2" x14ac:dyDescent="0.25">
      <c r="A392" s="46">
        <v>45508</v>
      </c>
      <c r="B392" s="45">
        <f>10/3</f>
        <v>3.3333333333333335</v>
      </c>
    </row>
    <row r="393" spans="1:2" x14ac:dyDescent="0.25">
      <c r="A393" s="46">
        <v>45509</v>
      </c>
      <c r="B393" s="45">
        <f>10/3</f>
        <v>3.3333333333333335</v>
      </c>
    </row>
    <row r="394" spans="1:2" x14ac:dyDescent="0.25">
      <c r="A394" s="46">
        <v>45510</v>
      </c>
      <c r="B394" s="45">
        <f>10/3</f>
        <v>3.3333333333333335</v>
      </c>
    </row>
    <row r="395" spans="1:2" x14ac:dyDescent="0.25">
      <c r="A395" s="46">
        <v>45511</v>
      </c>
      <c r="B395" s="45">
        <f>10/3</f>
        <v>3.3333333333333335</v>
      </c>
    </row>
    <row r="396" spans="1:2" x14ac:dyDescent="0.25">
      <c r="A396" s="46">
        <v>45512</v>
      </c>
      <c r="B396" s="45">
        <f>10/3</f>
        <v>3.3333333333333335</v>
      </c>
    </row>
    <row r="397" spans="1:2" x14ac:dyDescent="0.25">
      <c r="A397" s="46">
        <v>45513</v>
      </c>
      <c r="B397" s="45">
        <f>10/3</f>
        <v>3.3333333333333335</v>
      </c>
    </row>
    <row r="398" spans="1:2" x14ac:dyDescent="0.25">
      <c r="A398" s="46">
        <v>45514</v>
      </c>
      <c r="B398" s="45">
        <f>10/3</f>
        <v>3.3333333333333335</v>
      </c>
    </row>
    <row r="399" spans="1:2" x14ac:dyDescent="0.25">
      <c r="A399" s="46">
        <v>45515</v>
      </c>
      <c r="B399" s="45">
        <f>10/3</f>
        <v>3.3333333333333335</v>
      </c>
    </row>
    <row r="400" spans="1:2" x14ac:dyDescent="0.25">
      <c r="A400" s="46">
        <v>45516</v>
      </c>
      <c r="B400" s="45">
        <f>10/3</f>
        <v>3.3333333333333335</v>
      </c>
    </row>
    <row r="401" spans="1:2" x14ac:dyDescent="0.25">
      <c r="A401" s="46">
        <v>45517</v>
      </c>
      <c r="B401" s="45">
        <f>10/3</f>
        <v>3.3333333333333335</v>
      </c>
    </row>
    <row r="402" spans="1:2" x14ac:dyDescent="0.25">
      <c r="A402" s="46">
        <v>45518</v>
      </c>
      <c r="B402" s="45">
        <f>10/3</f>
        <v>3.3333333333333335</v>
      </c>
    </row>
    <row r="403" spans="1:2" x14ac:dyDescent="0.25">
      <c r="A403" s="46">
        <v>45519</v>
      </c>
      <c r="B403" s="45">
        <f>10/3</f>
        <v>3.3333333333333335</v>
      </c>
    </row>
    <row r="404" spans="1:2" x14ac:dyDescent="0.25">
      <c r="A404" s="46">
        <v>45520</v>
      </c>
      <c r="B404" s="45">
        <f>10/3</f>
        <v>3.3333333333333335</v>
      </c>
    </row>
    <row r="405" spans="1:2" x14ac:dyDescent="0.25">
      <c r="A405" s="46">
        <v>45521</v>
      </c>
      <c r="B405" s="45">
        <f>10/3</f>
        <v>3.3333333333333335</v>
      </c>
    </row>
    <row r="406" spans="1:2" x14ac:dyDescent="0.25">
      <c r="A406" s="46">
        <v>45522</v>
      </c>
      <c r="B406" s="45">
        <f>10/3</f>
        <v>3.3333333333333335</v>
      </c>
    </row>
    <row r="407" spans="1:2" x14ac:dyDescent="0.25">
      <c r="A407" s="46">
        <v>45523</v>
      </c>
      <c r="B407" s="45">
        <f>10/3</f>
        <v>3.3333333333333335</v>
      </c>
    </row>
    <row r="408" spans="1:2" x14ac:dyDescent="0.25">
      <c r="A408" s="46">
        <v>45524</v>
      </c>
      <c r="B408" s="45">
        <f>10/3</f>
        <v>3.3333333333333335</v>
      </c>
    </row>
    <row r="409" spans="1:2" x14ac:dyDescent="0.25">
      <c r="A409" s="46">
        <v>45525</v>
      </c>
      <c r="B409" s="45">
        <f>10/3</f>
        <v>3.3333333333333335</v>
      </c>
    </row>
    <row r="410" spans="1:2" x14ac:dyDescent="0.25">
      <c r="A410" s="46">
        <v>45526</v>
      </c>
      <c r="B410" s="45">
        <f>10/3</f>
        <v>3.3333333333333335</v>
      </c>
    </row>
    <row r="411" spans="1:2" x14ac:dyDescent="0.25">
      <c r="A411" s="46">
        <v>45527</v>
      </c>
      <c r="B411" s="45">
        <f>10/3</f>
        <v>3.3333333333333335</v>
      </c>
    </row>
    <row r="412" spans="1:2" x14ac:dyDescent="0.25">
      <c r="A412" s="46">
        <v>45528</v>
      </c>
      <c r="B412" s="45">
        <f>10/3</f>
        <v>3.3333333333333335</v>
      </c>
    </row>
    <row r="413" spans="1:2" x14ac:dyDescent="0.25">
      <c r="A413" s="46">
        <v>45529</v>
      </c>
      <c r="B413" s="45">
        <f>10/3</f>
        <v>3.3333333333333335</v>
      </c>
    </row>
    <row r="414" spans="1:2" x14ac:dyDescent="0.25">
      <c r="A414" s="46">
        <v>45530</v>
      </c>
      <c r="B414" s="45">
        <f>10/3</f>
        <v>3.3333333333333335</v>
      </c>
    </row>
    <row r="415" spans="1:2" x14ac:dyDescent="0.25">
      <c r="A415" s="46">
        <v>45531</v>
      </c>
      <c r="B415" s="45">
        <f>10/3</f>
        <v>3.3333333333333335</v>
      </c>
    </row>
    <row r="416" spans="1:2" x14ac:dyDescent="0.25">
      <c r="A416" s="46">
        <v>45532</v>
      </c>
      <c r="B416" s="45">
        <f>10/3</f>
        <v>3.3333333333333335</v>
      </c>
    </row>
    <row r="417" spans="1:2" x14ac:dyDescent="0.25">
      <c r="A417" s="46">
        <v>45533</v>
      </c>
      <c r="B417" s="45">
        <f>10/3</f>
        <v>3.3333333333333335</v>
      </c>
    </row>
    <row r="418" spans="1:2" x14ac:dyDescent="0.25">
      <c r="A418" s="46">
        <v>45534</v>
      </c>
      <c r="B418" s="45">
        <f>10/3</f>
        <v>3.3333333333333335</v>
      </c>
    </row>
    <row r="419" spans="1:2" x14ac:dyDescent="0.25">
      <c r="A419" s="46">
        <v>45535</v>
      </c>
      <c r="B419" s="45">
        <f>10/3</f>
        <v>3.3333333333333335</v>
      </c>
    </row>
    <row r="420" spans="1:2" x14ac:dyDescent="0.25">
      <c r="A420" s="46">
        <v>45536</v>
      </c>
      <c r="B420" s="45">
        <f>10/3</f>
        <v>3.3333333333333335</v>
      </c>
    </row>
    <row r="421" spans="1:2" x14ac:dyDescent="0.25">
      <c r="A421" s="46">
        <v>45537</v>
      </c>
      <c r="B421" s="45">
        <f>10/3</f>
        <v>3.3333333333333335</v>
      </c>
    </row>
    <row r="422" spans="1:2" x14ac:dyDescent="0.25">
      <c r="A422" s="46">
        <v>45538</v>
      </c>
      <c r="B422" s="45">
        <f>10/3</f>
        <v>3.3333333333333335</v>
      </c>
    </row>
    <row r="423" spans="1:2" x14ac:dyDescent="0.25">
      <c r="A423" s="46">
        <v>45539</v>
      </c>
      <c r="B423" s="45">
        <f>10/3</f>
        <v>3.3333333333333335</v>
      </c>
    </row>
    <row r="424" spans="1:2" x14ac:dyDescent="0.25">
      <c r="A424" s="46">
        <v>45540</v>
      </c>
      <c r="B424" s="45">
        <f>10/3</f>
        <v>3.3333333333333335</v>
      </c>
    </row>
    <row r="425" spans="1:2" x14ac:dyDescent="0.25">
      <c r="A425" s="46">
        <v>45541</v>
      </c>
      <c r="B425" s="45">
        <f>10/3</f>
        <v>3.3333333333333335</v>
      </c>
    </row>
    <row r="426" spans="1:2" x14ac:dyDescent="0.25">
      <c r="A426" s="46">
        <v>45542</v>
      </c>
      <c r="B426" s="45">
        <f>10/3</f>
        <v>3.3333333333333335</v>
      </c>
    </row>
    <row r="427" spans="1:2" x14ac:dyDescent="0.25">
      <c r="A427" s="46">
        <v>45543</v>
      </c>
      <c r="B427" s="45">
        <f>10/3</f>
        <v>3.3333333333333335</v>
      </c>
    </row>
    <row r="428" spans="1:2" x14ac:dyDescent="0.25">
      <c r="A428" s="46">
        <v>45544</v>
      </c>
      <c r="B428" s="45">
        <f>10/3</f>
        <v>3.3333333333333335</v>
      </c>
    </row>
    <row r="429" spans="1:2" x14ac:dyDescent="0.25">
      <c r="A429" s="46">
        <v>45545</v>
      </c>
      <c r="B429" s="45">
        <f>10/3</f>
        <v>3.3333333333333335</v>
      </c>
    </row>
    <row r="430" spans="1:2" x14ac:dyDescent="0.25">
      <c r="A430" s="46">
        <v>45546</v>
      </c>
      <c r="B430" s="45">
        <f>10/3</f>
        <v>3.3333333333333335</v>
      </c>
    </row>
    <row r="431" spans="1:2" x14ac:dyDescent="0.25">
      <c r="A431" s="46">
        <v>45547</v>
      </c>
      <c r="B431" s="45">
        <f>10/3</f>
        <v>3.3333333333333335</v>
      </c>
    </row>
    <row r="432" spans="1:2" x14ac:dyDescent="0.25">
      <c r="A432" s="46">
        <v>45548</v>
      </c>
      <c r="B432" s="45">
        <f>10/3</f>
        <v>3.3333333333333335</v>
      </c>
    </row>
    <row r="433" spans="1:2" x14ac:dyDescent="0.25">
      <c r="A433" s="46">
        <v>45549</v>
      </c>
      <c r="B433" s="45">
        <f>10/3</f>
        <v>3.3333333333333335</v>
      </c>
    </row>
    <row r="434" spans="1:2" x14ac:dyDescent="0.25">
      <c r="A434" s="46">
        <v>45550</v>
      </c>
      <c r="B434" s="45">
        <f>10/3</f>
        <v>3.3333333333333335</v>
      </c>
    </row>
    <row r="435" spans="1:2" x14ac:dyDescent="0.25">
      <c r="A435" s="46">
        <v>45551</v>
      </c>
      <c r="B435" s="45">
        <f>10/3</f>
        <v>3.3333333333333335</v>
      </c>
    </row>
    <row r="436" spans="1:2" x14ac:dyDescent="0.25">
      <c r="A436" s="46">
        <v>45552</v>
      </c>
      <c r="B436" s="45">
        <f>10/3</f>
        <v>3.3333333333333335</v>
      </c>
    </row>
    <row r="437" spans="1:2" x14ac:dyDescent="0.25">
      <c r="A437" s="46">
        <v>45553</v>
      </c>
      <c r="B437" s="45">
        <f>10/3</f>
        <v>3.3333333333333335</v>
      </c>
    </row>
    <row r="438" spans="1:2" x14ac:dyDescent="0.25">
      <c r="A438" s="46">
        <v>45554</v>
      </c>
      <c r="B438" s="45">
        <f>10/3</f>
        <v>3.3333333333333335</v>
      </c>
    </row>
    <row r="439" spans="1:2" x14ac:dyDescent="0.25">
      <c r="A439" s="46">
        <v>45555</v>
      </c>
      <c r="B439" s="45">
        <f>10/3</f>
        <v>3.3333333333333335</v>
      </c>
    </row>
    <row r="440" spans="1:2" x14ac:dyDescent="0.25">
      <c r="A440" s="46">
        <v>45556</v>
      </c>
      <c r="B440" s="45">
        <f>10/3</f>
        <v>3.3333333333333335</v>
      </c>
    </row>
    <row r="441" spans="1:2" x14ac:dyDescent="0.25">
      <c r="A441" s="46">
        <v>45557</v>
      </c>
      <c r="B441" s="45">
        <f>10/3</f>
        <v>3.3333333333333335</v>
      </c>
    </row>
    <row r="442" spans="1:2" x14ac:dyDescent="0.25">
      <c r="A442" s="46">
        <v>45558</v>
      </c>
      <c r="B442" s="45">
        <f>10/3</f>
        <v>3.3333333333333335</v>
      </c>
    </row>
    <row r="443" spans="1:2" x14ac:dyDescent="0.25">
      <c r="A443" s="46">
        <v>45559</v>
      </c>
      <c r="B443" s="45">
        <f>10/3</f>
        <v>3.3333333333333335</v>
      </c>
    </row>
    <row r="444" spans="1:2" x14ac:dyDescent="0.25">
      <c r="A444" s="46">
        <v>45560</v>
      </c>
      <c r="B444" s="45">
        <f>10/3</f>
        <v>3.3333333333333335</v>
      </c>
    </row>
    <row r="445" spans="1:2" x14ac:dyDescent="0.25">
      <c r="A445" s="46">
        <v>45561</v>
      </c>
      <c r="B445" s="45">
        <f>10/3</f>
        <v>3.3333333333333335</v>
      </c>
    </row>
    <row r="446" spans="1:2" x14ac:dyDescent="0.25">
      <c r="A446" s="46">
        <v>45562</v>
      </c>
      <c r="B446" s="45">
        <f>10/3</f>
        <v>3.3333333333333335</v>
      </c>
    </row>
    <row r="447" spans="1:2" x14ac:dyDescent="0.25">
      <c r="A447" s="46">
        <v>45563</v>
      </c>
      <c r="B447" s="45">
        <f>10/3</f>
        <v>3.3333333333333335</v>
      </c>
    </row>
    <row r="448" spans="1:2" x14ac:dyDescent="0.25">
      <c r="A448" s="46">
        <v>45564</v>
      </c>
      <c r="B448" s="45">
        <f>10/3</f>
        <v>3.3333333333333335</v>
      </c>
    </row>
    <row r="449" spans="1:2" x14ac:dyDescent="0.25">
      <c r="A449" s="46">
        <v>45565</v>
      </c>
      <c r="B449" s="45">
        <f>10/3</f>
        <v>3.3333333333333335</v>
      </c>
    </row>
    <row r="450" spans="1:2" x14ac:dyDescent="0.25">
      <c r="A450" s="46">
        <v>45566</v>
      </c>
      <c r="B450" s="45">
        <f>10/3</f>
        <v>3.3333333333333335</v>
      </c>
    </row>
    <row r="451" spans="1:2" x14ac:dyDescent="0.25">
      <c r="A451" s="46">
        <v>45567</v>
      </c>
      <c r="B451" s="45">
        <f>10/3</f>
        <v>3.3333333333333335</v>
      </c>
    </row>
    <row r="452" spans="1:2" x14ac:dyDescent="0.25">
      <c r="A452" s="46">
        <v>45568</v>
      </c>
      <c r="B452" s="45">
        <f>10/3</f>
        <v>3.3333333333333335</v>
      </c>
    </row>
    <row r="453" spans="1:2" x14ac:dyDescent="0.25">
      <c r="A453" s="46">
        <v>45569</v>
      </c>
      <c r="B453" s="45">
        <f>10/3</f>
        <v>3.3333333333333335</v>
      </c>
    </row>
    <row r="454" spans="1:2" x14ac:dyDescent="0.25">
      <c r="A454" s="46">
        <v>45570</v>
      </c>
      <c r="B454" s="45">
        <f>10/3</f>
        <v>3.3333333333333335</v>
      </c>
    </row>
    <row r="455" spans="1:2" x14ac:dyDescent="0.25">
      <c r="A455" s="46">
        <v>45571</v>
      </c>
      <c r="B455" s="45">
        <f>10/3</f>
        <v>3.3333333333333335</v>
      </c>
    </row>
    <row r="456" spans="1:2" x14ac:dyDescent="0.25">
      <c r="A456" s="46">
        <v>45572</v>
      </c>
      <c r="B456" s="45">
        <f>10/3</f>
        <v>3.3333333333333335</v>
      </c>
    </row>
    <row r="457" spans="1:2" x14ac:dyDescent="0.25">
      <c r="A457" s="46">
        <v>45573</v>
      </c>
      <c r="B457" s="45">
        <f>10/3</f>
        <v>3.3333333333333335</v>
      </c>
    </row>
    <row r="458" spans="1:2" x14ac:dyDescent="0.25">
      <c r="A458" s="46">
        <v>45574</v>
      </c>
      <c r="B458" s="45">
        <f>10/3</f>
        <v>3.3333333333333335</v>
      </c>
    </row>
    <row r="459" spans="1:2" x14ac:dyDescent="0.25">
      <c r="A459" s="46">
        <v>45575</v>
      </c>
      <c r="B459" s="45">
        <f>10/3</f>
        <v>3.3333333333333335</v>
      </c>
    </row>
    <row r="460" spans="1:2" x14ac:dyDescent="0.25">
      <c r="A460" s="46">
        <v>45576</v>
      </c>
      <c r="B460" s="45">
        <f>10/3</f>
        <v>3.3333333333333335</v>
      </c>
    </row>
    <row r="461" spans="1:2" x14ac:dyDescent="0.25">
      <c r="A461" s="46">
        <v>45577</v>
      </c>
      <c r="B461" s="45">
        <f>10/3</f>
        <v>3.3333333333333335</v>
      </c>
    </row>
    <row r="462" spans="1:2" x14ac:dyDescent="0.25">
      <c r="A462" s="46">
        <v>45578</v>
      </c>
      <c r="B462" s="45">
        <f>10/3</f>
        <v>3.3333333333333335</v>
      </c>
    </row>
    <row r="463" spans="1:2" x14ac:dyDescent="0.25">
      <c r="A463" s="46">
        <v>45579</v>
      </c>
      <c r="B463" s="45">
        <f>10/3</f>
        <v>3.3333333333333335</v>
      </c>
    </row>
    <row r="464" spans="1:2" x14ac:dyDescent="0.25">
      <c r="A464" s="46">
        <v>45580</v>
      </c>
      <c r="B464" s="45">
        <f>10/3</f>
        <v>3.3333333333333335</v>
      </c>
    </row>
    <row r="465" spans="1:2" x14ac:dyDescent="0.25">
      <c r="A465" s="46">
        <v>45581</v>
      </c>
      <c r="B465" s="45">
        <f>10/3</f>
        <v>3.3333333333333335</v>
      </c>
    </row>
    <row r="466" spans="1:2" x14ac:dyDescent="0.25">
      <c r="A466" s="46">
        <v>45582</v>
      </c>
      <c r="B466" s="45">
        <f>10/3</f>
        <v>3.3333333333333335</v>
      </c>
    </row>
    <row r="467" spans="1:2" x14ac:dyDescent="0.25">
      <c r="A467" s="46">
        <v>45583</v>
      </c>
      <c r="B467" s="45">
        <f>10/3</f>
        <v>3.3333333333333335</v>
      </c>
    </row>
    <row r="468" spans="1:2" x14ac:dyDescent="0.25">
      <c r="A468" s="46">
        <v>45584</v>
      </c>
      <c r="B468" s="45">
        <f>10/3</f>
        <v>3.3333333333333335</v>
      </c>
    </row>
    <row r="469" spans="1:2" x14ac:dyDescent="0.25">
      <c r="A469" s="46">
        <v>45585</v>
      </c>
      <c r="B469" s="45">
        <f>10/3</f>
        <v>3.3333333333333335</v>
      </c>
    </row>
    <row r="470" spans="1:2" x14ac:dyDescent="0.25">
      <c r="A470" s="46">
        <v>45586</v>
      </c>
      <c r="B470" s="45">
        <f>10/3</f>
        <v>3.3333333333333335</v>
      </c>
    </row>
    <row r="471" spans="1:2" x14ac:dyDescent="0.25">
      <c r="A471" s="46">
        <v>45587</v>
      </c>
      <c r="B471" s="45">
        <f>10/3</f>
        <v>3.3333333333333335</v>
      </c>
    </row>
    <row r="472" spans="1:2" x14ac:dyDescent="0.25">
      <c r="A472" s="46">
        <v>45588</v>
      </c>
      <c r="B472" s="45">
        <f>10/3</f>
        <v>3.3333333333333335</v>
      </c>
    </row>
    <row r="473" spans="1:2" x14ac:dyDescent="0.25">
      <c r="A473" s="46">
        <v>45589</v>
      </c>
      <c r="B473" s="45">
        <f>10/3</f>
        <v>3.3333333333333335</v>
      </c>
    </row>
  </sheetData>
  <sortState ref="A2:B47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473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88 B136:B148 B90:B109 B123:B133 B155:B160 B162 B164 B166:B167 B171:B47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1"/>
  <sheetViews>
    <sheetView workbookViewId="0">
      <pane ySplit="1" topLeftCell="A195" activePane="bottomLeft" state="frozen"/>
      <selection pane="bottomLeft" activeCell="B221" sqref="B221"/>
    </sheetView>
  </sheetViews>
  <sheetFormatPr defaultRowHeight="15" x14ac:dyDescent="0.25"/>
  <cols>
    <col min="1" max="1" width="32.28515625" style="50" bestFit="1" customWidth="1"/>
    <col min="2" max="2" width="12" style="44" bestFit="1" customWidth="1"/>
  </cols>
  <sheetData>
    <row r="1" spans="1:2" s="1" customFormat="1" x14ac:dyDescent="0.25">
      <c r="A1" s="48" t="s">
        <v>0</v>
      </c>
      <c r="B1" s="49" t="s">
        <v>2</v>
      </c>
    </row>
    <row r="2" spans="1:2" s="1" customFormat="1" x14ac:dyDescent="0.25">
      <c r="A2" s="42">
        <v>41647.40902777778</v>
      </c>
      <c r="B2" s="41">
        <v>63</v>
      </c>
    </row>
    <row r="3" spans="1:2" s="1" customFormat="1" x14ac:dyDescent="0.25">
      <c r="A3" s="42">
        <v>41661.404166666667</v>
      </c>
      <c r="B3" s="41">
        <v>2</v>
      </c>
    </row>
    <row r="4" spans="1:2" s="1" customFormat="1" x14ac:dyDescent="0.25">
      <c r="A4" s="42">
        <v>41675.445138888892</v>
      </c>
      <c r="B4" s="41">
        <v>2</v>
      </c>
    </row>
    <row r="5" spans="1:2" s="1" customFormat="1" x14ac:dyDescent="0.25">
      <c r="A5" s="42">
        <v>41689.477777777778</v>
      </c>
      <c r="B5" s="41">
        <v>2</v>
      </c>
    </row>
    <row r="6" spans="1:2" s="1" customFormat="1" x14ac:dyDescent="0.25">
      <c r="A6" s="42">
        <v>41703.395138888889</v>
      </c>
      <c r="B6" s="41">
        <v>1</v>
      </c>
    </row>
    <row r="7" spans="1:2" s="1" customFormat="1" x14ac:dyDescent="0.25">
      <c r="A7" s="42">
        <v>41717</v>
      </c>
      <c r="B7" s="41">
        <v>5</v>
      </c>
    </row>
    <row r="8" spans="1:2" s="1" customFormat="1" x14ac:dyDescent="0.25">
      <c r="A8" s="42">
        <v>41745.388194444444</v>
      </c>
      <c r="B8" s="41">
        <v>6</v>
      </c>
    </row>
    <row r="9" spans="1:2" s="1" customFormat="1" x14ac:dyDescent="0.25">
      <c r="A9" s="42">
        <v>41759.390972222223</v>
      </c>
      <c r="B9" s="41">
        <v>1</v>
      </c>
    </row>
    <row r="10" spans="1:2" s="1" customFormat="1" x14ac:dyDescent="0.25">
      <c r="A10" s="42">
        <v>41773</v>
      </c>
      <c r="B10" s="41">
        <v>21</v>
      </c>
    </row>
    <row r="11" spans="1:2" s="1" customFormat="1" x14ac:dyDescent="0.25">
      <c r="A11" s="42">
        <v>41787.411111111112</v>
      </c>
      <c r="B11" s="41">
        <v>8</v>
      </c>
    </row>
    <row r="12" spans="1:2" s="1" customFormat="1" x14ac:dyDescent="0.25">
      <c r="A12" s="42">
        <v>41801.458333333336</v>
      </c>
      <c r="B12" s="41">
        <v>4</v>
      </c>
    </row>
    <row r="13" spans="1:2" s="1" customFormat="1" x14ac:dyDescent="0.25">
      <c r="A13" s="42">
        <v>41815.426388888889</v>
      </c>
      <c r="B13" s="41">
        <v>3</v>
      </c>
    </row>
    <row r="14" spans="1:2" s="1" customFormat="1" x14ac:dyDescent="0.25">
      <c r="A14" s="42">
        <v>41829.449999999997</v>
      </c>
      <c r="B14" s="41">
        <v>68</v>
      </c>
    </row>
    <row r="15" spans="1:2" s="1" customFormat="1" x14ac:dyDescent="0.25">
      <c r="A15" s="42">
        <v>41843.434027777781</v>
      </c>
      <c r="B15" s="41">
        <v>1</v>
      </c>
    </row>
    <row r="16" spans="1:2" s="1" customFormat="1" x14ac:dyDescent="0.25">
      <c r="A16" s="42">
        <v>41857.374305555553</v>
      </c>
      <c r="B16" s="41">
        <v>6</v>
      </c>
    </row>
    <row r="17" spans="1:2" s="1" customFormat="1" x14ac:dyDescent="0.25">
      <c r="A17" s="42">
        <v>41871.439583333333</v>
      </c>
      <c r="B17" s="41">
        <v>250</v>
      </c>
    </row>
    <row r="18" spans="1:2" s="1" customFormat="1" x14ac:dyDescent="0.25">
      <c r="A18" s="42">
        <v>41885.382638888892</v>
      </c>
      <c r="B18" s="41">
        <v>12</v>
      </c>
    </row>
    <row r="19" spans="1:2" s="1" customFormat="1" x14ac:dyDescent="0.25">
      <c r="A19" s="42">
        <v>41899</v>
      </c>
      <c r="B19" s="41">
        <v>1</v>
      </c>
    </row>
    <row r="20" spans="1:2" s="1" customFormat="1" x14ac:dyDescent="0.25">
      <c r="A20" s="42">
        <v>41913.411111111112</v>
      </c>
      <c r="B20" s="41">
        <v>19</v>
      </c>
    </row>
    <row r="21" spans="1:2" s="1" customFormat="1" x14ac:dyDescent="0.25">
      <c r="A21" s="42">
        <v>41927.409722222219</v>
      </c>
      <c r="B21" s="41">
        <v>3</v>
      </c>
    </row>
    <row r="22" spans="1:2" s="1" customFormat="1" x14ac:dyDescent="0.25">
      <c r="A22" s="42">
        <v>41941.379861111112</v>
      </c>
      <c r="B22" s="41">
        <v>0.33333333300000001</v>
      </c>
    </row>
    <row r="23" spans="1:2" s="1" customFormat="1" x14ac:dyDescent="0.25">
      <c r="A23" s="42">
        <v>41955.469444444447</v>
      </c>
      <c r="B23" s="41">
        <v>0.33333333300000001</v>
      </c>
    </row>
    <row r="24" spans="1:2" s="1" customFormat="1" x14ac:dyDescent="0.25">
      <c r="A24" s="42">
        <v>41969.439583333333</v>
      </c>
      <c r="B24" s="41">
        <v>0.33333333300000001</v>
      </c>
    </row>
    <row r="25" spans="1:2" s="1" customFormat="1" x14ac:dyDescent="0.25">
      <c r="A25" s="42">
        <v>41983.456250000003</v>
      </c>
      <c r="B25" s="41">
        <v>5</v>
      </c>
    </row>
    <row r="26" spans="1:2" x14ac:dyDescent="0.25">
      <c r="A26" s="42">
        <v>41992.355555555558</v>
      </c>
      <c r="B26" s="41">
        <v>1</v>
      </c>
    </row>
    <row r="27" spans="1:2" x14ac:dyDescent="0.25">
      <c r="A27" s="42">
        <v>42011.39166666667</v>
      </c>
      <c r="B27" s="41">
        <v>20</v>
      </c>
    </row>
    <row r="28" spans="1:2" x14ac:dyDescent="0.25">
      <c r="A28" s="42">
        <v>42025.447916666664</v>
      </c>
      <c r="B28" s="41">
        <v>0.33333333300000001</v>
      </c>
    </row>
    <row r="29" spans="1:2" x14ac:dyDescent="0.25">
      <c r="A29" s="42">
        <v>42039.438194444447</v>
      </c>
      <c r="B29" s="41">
        <v>0.33333333300000001</v>
      </c>
    </row>
    <row r="30" spans="1:2" x14ac:dyDescent="0.25">
      <c r="A30" s="42">
        <v>42053.425000000003</v>
      </c>
      <c r="B30" s="41">
        <v>5</v>
      </c>
    </row>
    <row r="31" spans="1:2" x14ac:dyDescent="0.25">
      <c r="A31" s="42">
        <v>42067.451388888891</v>
      </c>
      <c r="B31" s="41">
        <v>36</v>
      </c>
    </row>
    <row r="32" spans="1:2" x14ac:dyDescent="0.25">
      <c r="A32" s="42">
        <v>42081.390277777777</v>
      </c>
      <c r="B32" s="41">
        <v>1</v>
      </c>
    </row>
    <row r="33" spans="1:2" x14ac:dyDescent="0.25">
      <c r="A33" s="42">
        <v>42094</v>
      </c>
      <c r="B33" s="41">
        <v>1</v>
      </c>
    </row>
    <row r="34" spans="1:2" x14ac:dyDescent="0.25">
      <c r="A34" s="42">
        <v>42109</v>
      </c>
      <c r="B34" s="41">
        <v>1</v>
      </c>
    </row>
    <row r="35" spans="1:2" x14ac:dyDescent="0.25">
      <c r="A35" s="42">
        <v>42123</v>
      </c>
      <c r="B35" s="41">
        <v>2</v>
      </c>
    </row>
    <row r="36" spans="1:2" x14ac:dyDescent="0.25">
      <c r="A36" s="42">
        <v>42137</v>
      </c>
      <c r="B36" s="41">
        <v>28</v>
      </c>
    </row>
    <row r="37" spans="1:2" x14ac:dyDescent="0.25">
      <c r="A37" s="42">
        <v>42151</v>
      </c>
      <c r="B37" s="41">
        <v>4</v>
      </c>
    </row>
    <row r="38" spans="1:2" x14ac:dyDescent="0.25">
      <c r="A38" s="42">
        <v>42165</v>
      </c>
      <c r="B38" s="41">
        <v>12</v>
      </c>
    </row>
    <row r="39" spans="1:2" x14ac:dyDescent="0.25">
      <c r="A39" s="42">
        <v>42179</v>
      </c>
      <c r="B39" s="41">
        <v>69</v>
      </c>
    </row>
    <row r="40" spans="1:2" x14ac:dyDescent="0.25">
      <c r="A40" s="42">
        <v>42193</v>
      </c>
      <c r="B40" s="41">
        <v>34</v>
      </c>
    </row>
    <row r="41" spans="1:2" x14ac:dyDescent="0.25">
      <c r="A41" s="42">
        <v>42207</v>
      </c>
      <c r="B41" s="41">
        <v>10</v>
      </c>
    </row>
    <row r="42" spans="1:2" x14ac:dyDescent="0.25">
      <c r="A42" s="42">
        <v>42221</v>
      </c>
      <c r="B42" s="41">
        <v>0.33333333300000001</v>
      </c>
    </row>
    <row r="43" spans="1:2" x14ac:dyDescent="0.25">
      <c r="A43" s="42">
        <v>42235</v>
      </c>
      <c r="B43" s="41">
        <v>4</v>
      </c>
    </row>
    <row r="44" spans="1:2" x14ac:dyDescent="0.25">
      <c r="A44" s="42">
        <v>42249</v>
      </c>
      <c r="B44" s="41">
        <v>4</v>
      </c>
    </row>
    <row r="45" spans="1:2" x14ac:dyDescent="0.25">
      <c r="A45" s="42">
        <v>42263</v>
      </c>
      <c r="B45" s="41">
        <v>3</v>
      </c>
    </row>
    <row r="46" spans="1:2" x14ac:dyDescent="0.25">
      <c r="A46" s="42">
        <v>42277</v>
      </c>
      <c r="B46" s="41">
        <v>58</v>
      </c>
    </row>
    <row r="47" spans="1:2" x14ac:dyDescent="0.25">
      <c r="A47" s="42">
        <v>42291</v>
      </c>
      <c r="B47" s="41">
        <v>2</v>
      </c>
    </row>
    <row r="48" spans="1:2" x14ac:dyDescent="0.25">
      <c r="A48" s="42">
        <v>42305</v>
      </c>
      <c r="B48" s="41">
        <v>3</v>
      </c>
    </row>
    <row r="49" spans="1:2" x14ac:dyDescent="0.25">
      <c r="A49" s="42">
        <v>42319</v>
      </c>
      <c r="B49" s="41">
        <v>0.33333333300000001</v>
      </c>
    </row>
    <row r="50" spans="1:2" x14ac:dyDescent="0.25">
      <c r="A50" s="42">
        <v>42333</v>
      </c>
      <c r="B50" s="41">
        <v>4</v>
      </c>
    </row>
    <row r="51" spans="1:2" x14ac:dyDescent="0.25">
      <c r="A51" s="42">
        <v>42347</v>
      </c>
      <c r="B51" s="41">
        <v>3</v>
      </c>
    </row>
    <row r="52" spans="1:2" x14ac:dyDescent="0.25">
      <c r="A52" s="42">
        <v>42360</v>
      </c>
      <c r="B52" s="41">
        <v>2</v>
      </c>
    </row>
    <row r="53" spans="1:2" x14ac:dyDescent="0.25">
      <c r="A53" s="42">
        <v>42376</v>
      </c>
      <c r="B53" s="41">
        <v>29</v>
      </c>
    </row>
    <row r="54" spans="1:2" x14ac:dyDescent="0.25">
      <c r="A54" s="42">
        <v>42389</v>
      </c>
      <c r="B54" s="41">
        <v>22</v>
      </c>
    </row>
    <row r="55" spans="1:2" x14ac:dyDescent="0.25">
      <c r="A55" s="42">
        <v>42403</v>
      </c>
      <c r="B55" s="41">
        <v>54</v>
      </c>
    </row>
    <row r="56" spans="1:2" x14ac:dyDescent="0.25">
      <c r="A56" s="42">
        <v>42417</v>
      </c>
      <c r="B56" s="41">
        <v>29</v>
      </c>
    </row>
    <row r="57" spans="1:2" x14ac:dyDescent="0.25">
      <c r="A57" s="42">
        <v>42431</v>
      </c>
      <c r="B57" s="41">
        <v>109</v>
      </c>
    </row>
    <row r="58" spans="1:2" x14ac:dyDescent="0.25">
      <c r="A58" s="42">
        <v>42445</v>
      </c>
      <c r="B58" s="41">
        <v>0.33333333300000001</v>
      </c>
    </row>
    <row r="59" spans="1:2" x14ac:dyDescent="0.25">
      <c r="A59" s="42">
        <v>42464</v>
      </c>
      <c r="B59" s="41">
        <v>7</v>
      </c>
    </row>
    <row r="60" spans="1:2" x14ac:dyDescent="0.25">
      <c r="A60" s="42">
        <v>42473</v>
      </c>
      <c r="B60" s="41">
        <v>0.33333333300000001</v>
      </c>
    </row>
    <row r="61" spans="1:2" x14ac:dyDescent="0.25">
      <c r="A61" s="42">
        <v>42486</v>
      </c>
      <c r="B61" s="41">
        <v>3</v>
      </c>
    </row>
    <row r="62" spans="1:2" x14ac:dyDescent="0.25">
      <c r="A62" s="42">
        <v>42501</v>
      </c>
      <c r="B62" s="41">
        <v>87</v>
      </c>
    </row>
    <row r="63" spans="1:2" x14ac:dyDescent="0.25">
      <c r="A63" s="42">
        <v>42515</v>
      </c>
      <c r="B63" s="41">
        <v>28</v>
      </c>
    </row>
    <row r="64" spans="1:2" x14ac:dyDescent="0.25">
      <c r="A64" s="42">
        <v>42529</v>
      </c>
      <c r="B64" s="41">
        <v>0.33333333300000001</v>
      </c>
    </row>
    <row r="65" spans="1:2" x14ac:dyDescent="0.25">
      <c r="A65" s="42">
        <v>42543</v>
      </c>
      <c r="B65" s="41">
        <v>3</v>
      </c>
    </row>
    <row r="66" spans="1:2" x14ac:dyDescent="0.25">
      <c r="A66" s="42">
        <v>42557</v>
      </c>
      <c r="B66" s="41">
        <v>4</v>
      </c>
    </row>
    <row r="67" spans="1:2" x14ac:dyDescent="0.25">
      <c r="A67" s="42">
        <v>42571</v>
      </c>
      <c r="B67" s="41">
        <v>2</v>
      </c>
    </row>
    <row r="68" spans="1:2" x14ac:dyDescent="0.25">
      <c r="A68" s="42">
        <v>42586</v>
      </c>
      <c r="B68" s="41">
        <v>1</v>
      </c>
    </row>
    <row r="69" spans="1:2" x14ac:dyDescent="0.25">
      <c r="A69" s="42">
        <v>42599</v>
      </c>
      <c r="B69" s="41">
        <v>5</v>
      </c>
    </row>
    <row r="70" spans="1:2" x14ac:dyDescent="0.25">
      <c r="A70" s="42">
        <v>42613</v>
      </c>
      <c r="B70" s="41">
        <v>1</v>
      </c>
    </row>
    <row r="71" spans="1:2" x14ac:dyDescent="0.25">
      <c r="A71" s="42">
        <v>42627</v>
      </c>
      <c r="B71" s="41">
        <v>0.33333333300000001</v>
      </c>
    </row>
    <row r="72" spans="1:2" x14ac:dyDescent="0.25">
      <c r="A72" s="42">
        <v>42641</v>
      </c>
      <c r="B72" s="41">
        <v>9</v>
      </c>
    </row>
    <row r="73" spans="1:2" x14ac:dyDescent="0.25">
      <c r="A73" s="42">
        <v>42655</v>
      </c>
      <c r="B73" s="41">
        <v>1</v>
      </c>
    </row>
    <row r="74" spans="1:2" x14ac:dyDescent="0.25">
      <c r="A74" s="42">
        <v>42669</v>
      </c>
      <c r="B74" s="41">
        <v>0.33333333300000001</v>
      </c>
    </row>
    <row r="75" spans="1:2" x14ac:dyDescent="0.25">
      <c r="A75" s="42">
        <v>42683</v>
      </c>
      <c r="B75" s="41">
        <v>4</v>
      </c>
    </row>
    <row r="76" spans="1:2" x14ac:dyDescent="0.25">
      <c r="A76" s="42">
        <v>42697</v>
      </c>
      <c r="B76" s="41">
        <v>0.33333333300000001</v>
      </c>
    </row>
    <row r="77" spans="1:2" x14ac:dyDescent="0.25">
      <c r="A77" s="42">
        <v>42711</v>
      </c>
      <c r="B77" s="41">
        <v>1</v>
      </c>
    </row>
    <row r="78" spans="1:2" x14ac:dyDescent="0.25">
      <c r="A78" s="42">
        <v>42725</v>
      </c>
      <c r="B78" s="41">
        <v>18</v>
      </c>
    </row>
    <row r="79" spans="1:2" x14ac:dyDescent="0.25">
      <c r="A79" s="42">
        <v>42740</v>
      </c>
      <c r="B79" s="41">
        <v>12</v>
      </c>
    </row>
    <row r="80" spans="1:2" x14ac:dyDescent="0.25">
      <c r="A80" s="42">
        <v>42753</v>
      </c>
      <c r="B80" s="41">
        <v>8</v>
      </c>
    </row>
    <row r="81" spans="1:2" x14ac:dyDescent="0.25">
      <c r="A81" s="42">
        <v>42767</v>
      </c>
      <c r="B81" s="41">
        <v>52</v>
      </c>
    </row>
    <row r="82" spans="1:2" x14ac:dyDescent="0.25">
      <c r="A82" s="42">
        <v>42781</v>
      </c>
      <c r="B82" s="41">
        <v>86</v>
      </c>
    </row>
    <row r="83" spans="1:2" x14ac:dyDescent="0.25">
      <c r="A83" s="42">
        <v>42795</v>
      </c>
      <c r="B83" s="41">
        <v>0.33333333300000001</v>
      </c>
    </row>
    <row r="84" spans="1:2" x14ac:dyDescent="0.25">
      <c r="A84" s="42">
        <v>42809</v>
      </c>
      <c r="B84" s="41">
        <v>4</v>
      </c>
    </row>
    <row r="85" spans="1:2" x14ac:dyDescent="0.25">
      <c r="A85" s="42">
        <v>42823</v>
      </c>
      <c r="B85" s="41">
        <v>11</v>
      </c>
    </row>
    <row r="86" spans="1:2" x14ac:dyDescent="0.25">
      <c r="A86" s="42">
        <v>42836</v>
      </c>
      <c r="B86" s="41">
        <v>7</v>
      </c>
    </row>
    <row r="87" spans="1:2" x14ac:dyDescent="0.25">
      <c r="A87" s="42">
        <v>42851</v>
      </c>
      <c r="B87" s="41">
        <v>14</v>
      </c>
    </row>
    <row r="88" spans="1:2" x14ac:dyDescent="0.25">
      <c r="A88" s="42">
        <v>42865</v>
      </c>
      <c r="B88" s="41">
        <v>41</v>
      </c>
    </row>
    <row r="89" spans="1:2" x14ac:dyDescent="0.25">
      <c r="A89" s="42">
        <v>42879</v>
      </c>
      <c r="B89" s="41">
        <v>3</v>
      </c>
    </row>
    <row r="90" spans="1:2" x14ac:dyDescent="0.25">
      <c r="A90" s="42">
        <v>42893</v>
      </c>
      <c r="B90" s="41">
        <v>900</v>
      </c>
    </row>
    <row r="91" spans="1:2" x14ac:dyDescent="0.25">
      <c r="A91" s="42">
        <v>42907</v>
      </c>
      <c r="B91" s="41">
        <v>16</v>
      </c>
    </row>
    <row r="92" spans="1:2" x14ac:dyDescent="0.25">
      <c r="A92" s="42">
        <v>42921</v>
      </c>
      <c r="B92" s="41">
        <v>4</v>
      </c>
    </row>
    <row r="93" spans="1:2" x14ac:dyDescent="0.25">
      <c r="A93" s="42">
        <v>42935</v>
      </c>
      <c r="B93" s="41">
        <v>1</v>
      </c>
    </row>
    <row r="94" spans="1:2" x14ac:dyDescent="0.25">
      <c r="A94" s="42">
        <v>42949</v>
      </c>
      <c r="B94" s="41">
        <v>2</v>
      </c>
    </row>
    <row r="95" spans="1:2" x14ac:dyDescent="0.25">
      <c r="A95" s="42">
        <v>42963</v>
      </c>
      <c r="B95" s="41">
        <v>1</v>
      </c>
    </row>
    <row r="96" spans="1:2" x14ac:dyDescent="0.25">
      <c r="A96" s="42">
        <v>42977</v>
      </c>
      <c r="B96" s="41">
        <v>4</v>
      </c>
    </row>
    <row r="97" spans="1:2" x14ac:dyDescent="0.25">
      <c r="A97" s="42">
        <v>42991</v>
      </c>
      <c r="B97" s="41">
        <v>0.33333333300000001</v>
      </c>
    </row>
    <row r="98" spans="1:2" x14ac:dyDescent="0.25">
      <c r="A98" s="42">
        <v>43005</v>
      </c>
      <c r="B98" s="41">
        <v>0.33333333300000001</v>
      </c>
    </row>
    <row r="99" spans="1:2" x14ac:dyDescent="0.25">
      <c r="A99" s="42">
        <v>43019</v>
      </c>
      <c r="B99" s="41">
        <v>0.33333333300000001</v>
      </c>
    </row>
    <row r="100" spans="1:2" x14ac:dyDescent="0.25">
      <c r="A100" s="42">
        <v>43033</v>
      </c>
      <c r="B100" s="45">
        <v>0.33333333300000001</v>
      </c>
    </row>
    <row r="101" spans="1:2" x14ac:dyDescent="0.25">
      <c r="A101" s="42">
        <v>43047</v>
      </c>
      <c r="B101" s="45">
        <v>11</v>
      </c>
    </row>
    <row r="102" spans="1:2" x14ac:dyDescent="0.25">
      <c r="A102" s="42">
        <v>43061</v>
      </c>
      <c r="B102" s="45">
        <v>1</v>
      </c>
    </row>
    <row r="103" spans="1:2" x14ac:dyDescent="0.25">
      <c r="A103" s="42">
        <v>43089</v>
      </c>
      <c r="B103" s="45">
        <v>27</v>
      </c>
    </row>
    <row r="104" spans="1:2" x14ac:dyDescent="0.25">
      <c r="A104" s="42">
        <v>43103</v>
      </c>
      <c r="B104" s="41">
        <v>49</v>
      </c>
    </row>
    <row r="105" spans="1:2" x14ac:dyDescent="0.25">
      <c r="A105" s="42">
        <v>43117</v>
      </c>
      <c r="B105" s="41">
        <v>1</v>
      </c>
    </row>
    <row r="106" spans="1:2" x14ac:dyDescent="0.25">
      <c r="A106" s="42">
        <v>43131</v>
      </c>
      <c r="B106" s="41">
        <v>19</v>
      </c>
    </row>
    <row r="107" spans="1:2" x14ac:dyDescent="0.25">
      <c r="A107" s="42">
        <v>43145</v>
      </c>
      <c r="B107" s="41">
        <v>42</v>
      </c>
    </row>
    <row r="108" spans="1:2" x14ac:dyDescent="0.25">
      <c r="A108" s="42">
        <v>43159</v>
      </c>
      <c r="B108" s="41">
        <v>0.33333333300000001</v>
      </c>
    </row>
    <row r="109" spans="1:2" x14ac:dyDescent="0.25">
      <c r="A109" s="42">
        <v>43173</v>
      </c>
      <c r="B109" s="41">
        <v>71</v>
      </c>
    </row>
    <row r="110" spans="1:2" x14ac:dyDescent="0.25">
      <c r="A110" s="42">
        <v>43186</v>
      </c>
      <c r="B110" s="41">
        <v>1</v>
      </c>
    </row>
    <row r="111" spans="1:2" x14ac:dyDescent="0.25">
      <c r="A111" s="42">
        <v>43201</v>
      </c>
      <c r="B111" s="41">
        <v>2</v>
      </c>
    </row>
    <row r="112" spans="1:2" x14ac:dyDescent="0.25">
      <c r="A112" s="42">
        <v>43215</v>
      </c>
      <c r="B112" s="41">
        <v>3</v>
      </c>
    </row>
    <row r="113" spans="1:2" x14ac:dyDescent="0.25">
      <c r="A113" s="42">
        <v>43229</v>
      </c>
      <c r="B113" s="41">
        <v>24</v>
      </c>
    </row>
    <row r="114" spans="1:2" x14ac:dyDescent="0.25">
      <c r="A114" s="42">
        <v>43243</v>
      </c>
      <c r="B114" s="41">
        <v>3</v>
      </c>
    </row>
    <row r="115" spans="1:2" x14ac:dyDescent="0.25">
      <c r="A115" s="42">
        <v>43257</v>
      </c>
      <c r="B115" s="41">
        <v>4</v>
      </c>
    </row>
    <row r="116" spans="1:2" x14ac:dyDescent="0.25">
      <c r="A116" s="42">
        <v>43271</v>
      </c>
      <c r="B116" s="41">
        <v>1</v>
      </c>
    </row>
    <row r="117" spans="1:2" x14ac:dyDescent="0.25">
      <c r="A117" s="42">
        <v>43285</v>
      </c>
      <c r="B117" s="41">
        <v>4</v>
      </c>
    </row>
    <row r="118" spans="1:2" x14ac:dyDescent="0.25">
      <c r="A118" s="42">
        <v>43299</v>
      </c>
      <c r="B118" s="41">
        <v>10</v>
      </c>
    </row>
    <row r="119" spans="1:2" x14ac:dyDescent="0.25">
      <c r="A119" s="42">
        <v>43313</v>
      </c>
      <c r="B119" s="41">
        <v>14</v>
      </c>
    </row>
    <row r="120" spans="1:2" x14ac:dyDescent="0.25">
      <c r="A120" s="42">
        <v>43327</v>
      </c>
      <c r="B120" s="41">
        <v>5</v>
      </c>
    </row>
    <row r="121" spans="1:2" x14ac:dyDescent="0.25">
      <c r="A121" s="42">
        <v>43341</v>
      </c>
      <c r="B121" s="41">
        <v>9</v>
      </c>
    </row>
    <row r="122" spans="1:2" x14ac:dyDescent="0.25">
      <c r="A122" s="42">
        <v>43355</v>
      </c>
      <c r="B122" s="41">
        <v>4</v>
      </c>
    </row>
    <row r="123" spans="1:2" x14ac:dyDescent="0.25">
      <c r="A123" s="42">
        <v>43369</v>
      </c>
      <c r="B123" s="41">
        <v>1</v>
      </c>
    </row>
    <row r="124" spans="1:2" x14ac:dyDescent="0.25">
      <c r="A124" s="42">
        <v>43383</v>
      </c>
      <c r="B124" s="41">
        <v>93</v>
      </c>
    </row>
    <row r="125" spans="1:2" x14ac:dyDescent="0.25">
      <c r="A125" s="42">
        <v>43397.477083333331</v>
      </c>
      <c r="B125" s="41">
        <v>0.33333333300000001</v>
      </c>
    </row>
    <row r="126" spans="1:2" x14ac:dyDescent="0.25">
      <c r="A126" s="42">
        <v>43411.376388888886</v>
      </c>
      <c r="B126" s="41">
        <v>5</v>
      </c>
    </row>
    <row r="127" spans="1:2" x14ac:dyDescent="0.25">
      <c r="A127" s="42">
        <v>43425.370138888888</v>
      </c>
      <c r="B127" s="41">
        <v>2</v>
      </c>
    </row>
    <row r="128" spans="1:2" x14ac:dyDescent="0.25">
      <c r="A128" s="42">
        <v>43439</v>
      </c>
      <c r="B128" s="41">
        <v>0.33333333300000001</v>
      </c>
    </row>
    <row r="129" spans="1:2" x14ac:dyDescent="0.25">
      <c r="A129" s="42">
        <v>43453.413194444445</v>
      </c>
      <c r="B129" s="41">
        <v>2</v>
      </c>
    </row>
    <row r="130" spans="1:2" x14ac:dyDescent="0.25">
      <c r="A130" s="42">
        <v>43468.394444444442</v>
      </c>
      <c r="B130" s="41">
        <v>39</v>
      </c>
    </row>
    <row r="131" spans="1:2" x14ac:dyDescent="0.25">
      <c r="A131" s="42">
        <v>43481.362500000003</v>
      </c>
      <c r="B131" s="41">
        <v>3</v>
      </c>
    </row>
    <row r="132" spans="1:2" x14ac:dyDescent="0.25">
      <c r="A132" s="42">
        <v>43495</v>
      </c>
      <c r="B132" s="41">
        <v>4</v>
      </c>
    </row>
    <row r="133" spans="1:2" x14ac:dyDescent="0.25">
      <c r="A133" s="42">
        <v>43509.40625</v>
      </c>
      <c r="B133" s="41">
        <v>1</v>
      </c>
    </row>
    <row r="134" spans="1:2" x14ac:dyDescent="0.25">
      <c r="A134" s="42">
        <v>43523.40625</v>
      </c>
      <c r="B134" s="41">
        <v>0.33333333300000001</v>
      </c>
    </row>
    <row r="135" spans="1:2" x14ac:dyDescent="0.25">
      <c r="A135" s="42">
        <v>43537</v>
      </c>
      <c r="B135" s="41">
        <v>0.33333333300000001</v>
      </c>
    </row>
    <row r="136" spans="1:2" x14ac:dyDescent="0.25">
      <c r="A136" s="42">
        <v>43551</v>
      </c>
      <c r="B136" s="41">
        <v>0.33333333300000001</v>
      </c>
    </row>
    <row r="137" spans="1:2" x14ac:dyDescent="0.25">
      <c r="A137" s="42">
        <v>43565</v>
      </c>
      <c r="B137" s="45">
        <v>4</v>
      </c>
    </row>
    <row r="138" spans="1:2" x14ac:dyDescent="0.25">
      <c r="A138" s="42">
        <v>43579</v>
      </c>
      <c r="B138" s="45">
        <v>62</v>
      </c>
    </row>
    <row r="139" spans="1:2" x14ac:dyDescent="0.25">
      <c r="A139" s="42">
        <v>43592</v>
      </c>
      <c r="B139" s="47">
        <v>34</v>
      </c>
    </row>
    <row r="140" spans="1:2" x14ac:dyDescent="0.25">
      <c r="A140" s="42">
        <v>43607</v>
      </c>
      <c r="B140" s="47">
        <v>10</v>
      </c>
    </row>
    <row r="141" spans="1:2" x14ac:dyDescent="0.25">
      <c r="A141" s="42">
        <v>43621</v>
      </c>
      <c r="B141" s="44">
        <v>85</v>
      </c>
    </row>
    <row r="142" spans="1:2" x14ac:dyDescent="0.25">
      <c r="A142" s="42">
        <v>43635</v>
      </c>
      <c r="B142" s="44">
        <v>5</v>
      </c>
    </row>
    <row r="143" spans="1:2" x14ac:dyDescent="0.25">
      <c r="A143" s="42">
        <v>43649</v>
      </c>
      <c r="B143" s="44">
        <v>26</v>
      </c>
    </row>
    <row r="144" spans="1:2" x14ac:dyDescent="0.25">
      <c r="A144" s="42">
        <v>43663</v>
      </c>
      <c r="B144" s="44">
        <v>5</v>
      </c>
    </row>
    <row r="145" spans="1:2" x14ac:dyDescent="0.25">
      <c r="A145" s="42">
        <v>43677</v>
      </c>
      <c r="B145" s="44">
        <v>41</v>
      </c>
    </row>
    <row r="146" spans="1:2" x14ac:dyDescent="0.25">
      <c r="A146" s="42">
        <v>43691</v>
      </c>
      <c r="B146" s="44">
        <v>16</v>
      </c>
    </row>
    <row r="147" spans="1:2" x14ac:dyDescent="0.25">
      <c r="A147" s="42">
        <v>43705</v>
      </c>
      <c r="B147" s="44">
        <v>50</v>
      </c>
    </row>
    <row r="148" spans="1:2" x14ac:dyDescent="0.25">
      <c r="A148" s="42">
        <v>43747</v>
      </c>
      <c r="B148" s="44">
        <v>31</v>
      </c>
    </row>
    <row r="149" spans="1:2" x14ac:dyDescent="0.25">
      <c r="A149" s="42">
        <v>43761</v>
      </c>
      <c r="B149" s="44">
        <v>2</v>
      </c>
    </row>
    <row r="150" spans="1:2" x14ac:dyDescent="0.25">
      <c r="A150" s="42">
        <v>43775</v>
      </c>
      <c r="B150" s="44">
        <v>500</v>
      </c>
    </row>
    <row r="151" spans="1:2" x14ac:dyDescent="0.25">
      <c r="A151" s="42">
        <v>43789</v>
      </c>
      <c r="B151" s="44">
        <v>5</v>
      </c>
    </row>
    <row r="152" spans="1:2" x14ac:dyDescent="0.25">
      <c r="A152" s="46">
        <v>43804</v>
      </c>
      <c r="B152" s="44">
        <v>1</v>
      </c>
    </row>
    <row r="153" spans="1:2" x14ac:dyDescent="0.25">
      <c r="A153" s="46">
        <v>43817</v>
      </c>
      <c r="B153" s="44">
        <v>1</v>
      </c>
    </row>
    <row r="154" spans="1:2" x14ac:dyDescent="0.25">
      <c r="A154" s="46">
        <v>43828</v>
      </c>
      <c r="B154" s="44">
        <v>7</v>
      </c>
    </row>
    <row r="155" spans="1:2" x14ac:dyDescent="0.25">
      <c r="A155" s="46">
        <v>43845</v>
      </c>
      <c r="B155" s="44">
        <v>3.3333000000000002E-2</v>
      </c>
    </row>
    <row r="156" spans="1:2" x14ac:dyDescent="0.25">
      <c r="A156" s="46">
        <v>43859</v>
      </c>
      <c r="B156" s="44">
        <v>50</v>
      </c>
    </row>
    <row r="157" spans="1:2" x14ac:dyDescent="0.25">
      <c r="A157" s="46">
        <v>43873</v>
      </c>
      <c r="B157" s="44">
        <v>43</v>
      </c>
    </row>
    <row r="158" spans="1:2" x14ac:dyDescent="0.25">
      <c r="A158" s="46">
        <v>43887</v>
      </c>
      <c r="B158" s="44">
        <v>27</v>
      </c>
    </row>
    <row r="159" spans="1:2" x14ac:dyDescent="0.25">
      <c r="A159" s="46">
        <v>43901</v>
      </c>
      <c r="B159" s="44">
        <v>1</v>
      </c>
    </row>
    <row r="160" spans="1:2" x14ac:dyDescent="0.25">
      <c r="A160" s="46">
        <v>43985</v>
      </c>
      <c r="B160" s="44">
        <v>6</v>
      </c>
    </row>
    <row r="161" spans="1:2" x14ac:dyDescent="0.25">
      <c r="A161" s="46">
        <v>43999</v>
      </c>
      <c r="B161" s="44">
        <v>24</v>
      </c>
    </row>
    <row r="162" spans="1:2" x14ac:dyDescent="0.25">
      <c r="A162" s="46">
        <v>44013</v>
      </c>
      <c r="B162" s="44">
        <v>43</v>
      </c>
    </row>
    <row r="163" spans="1:2" x14ac:dyDescent="0.25">
      <c r="A163" s="46">
        <v>44027</v>
      </c>
      <c r="B163" s="44">
        <v>24</v>
      </c>
    </row>
    <row r="164" spans="1:2" x14ac:dyDescent="0.25">
      <c r="A164" s="46">
        <v>44041</v>
      </c>
      <c r="B164" s="44">
        <v>3</v>
      </c>
    </row>
    <row r="165" spans="1:2" x14ac:dyDescent="0.25">
      <c r="A165" s="46">
        <v>44059</v>
      </c>
      <c r="B165" s="44">
        <v>6</v>
      </c>
    </row>
    <row r="166" spans="1:2" x14ac:dyDescent="0.25">
      <c r="A166" s="46">
        <v>44069</v>
      </c>
      <c r="B166" s="44">
        <v>27</v>
      </c>
    </row>
    <row r="167" spans="1:2" x14ac:dyDescent="0.25">
      <c r="A167" s="46">
        <v>44083</v>
      </c>
      <c r="B167" s="41">
        <v>0.12493873660829993</v>
      </c>
    </row>
    <row r="168" spans="1:2" x14ac:dyDescent="0.25">
      <c r="A168" s="46">
        <v>44097</v>
      </c>
      <c r="B168" s="41">
        <v>0.12493873660829993</v>
      </c>
    </row>
    <row r="169" spans="1:2" x14ac:dyDescent="0.25">
      <c r="A169" s="46">
        <v>44111</v>
      </c>
      <c r="B169" s="44">
        <v>7</v>
      </c>
    </row>
    <row r="170" spans="1:2" x14ac:dyDescent="0.25">
      <c r="A170" s="46">
        <v>44125</v>
      </c>
      <c r="B170" s="44">
        <f>1/3</f>
        <v>0.33333333333333331</v>
      </c>
    </row>
    <row r="171" spans="1:2" x14ac:dyDescent="0.25">
      <c r="A171" s="46">
        <v>44139</v>
      </c>
      <c r="B171" s="44">
        <f>1/3</f>
        <v>0.33333333333333331</v>
      </c>
    </row>
    <row r="172" spans="1:2" x14ac:dyDescent="0.25">
      <c r="A172" s="46">
        <v>44153</v>
      </c>
      <c r="B172" s="44">
        <f>1/3</f>
        <v>0.33333333333333331</v>
      </c>
    </row>
    <row r="173" spans="1:2" x14ac:dyDescent="0.25">
      <c r="A173" s="46">
        <v>44167</v>
      </c>
      <c r="B173" s="44">
        <v>6</v>
      </c>
    </row>
    <row r="174" spans="1:2" x14ac:dyDescent="0.25">
      <c r="A174" s="46">
        <v>44178</v>
      </c>
      <c r="B174" s="44">
        <v>47</v>
      </c>
    </row>
    <row r="175" spans="1:2" x14ac:dyDescent="0.25">
      <c r="A175" s="46">
        <v>44195</v>
      </c>
      <c r="B175" s="44">
        <f>1/3</f>
        <v>0.33333333333333331</v>
      </c>
    </row>
    <row r="176" spans="1:2" x14ac:dyDescent="0.25">
      <c r="A176" s="46">
        <v>44209</v>
      </c>
      <c r="B176" s="44">
        <f>1/3</f>
        <v>0.33333333333333331</v>
      </c>
    </row>
    <row r="177" spans="1:2" x14ac:dyDescent="0.25">
      <c r="A177" s="46">
        <v>44223</v>
      </c>
      <c r="B177" s="44">
        <v>2</v>
      </c>
    </row>
    <row r="178" spans="1:2" x14ac:dyDescent="0.25">
      <c r="A178" s="46">
        <v>44237</v>
      </c>
      <c r="B178" s="44">
        <f>1/3</f>
        <v>0.33333333333333331</v>
      </c>
    </row>
    <row r="179" spans="1:2" x14ac:dyDescent="0.25">
      <c r="A179" s="46">
        <v>44265</v>
      </c>
      <c r="B179" s="44">
        <f>100*3</f>
        <v>300</v>
      </c>
    </row>
    <row r="180" spans="1:2" x14ac:dyDescent="0.25">
      <c r="A180" s="46">
        <v>44293</v>
      </c>
      <c r="B180" s="44">
        <f>1/3</f>
        <v>0.33333333333333331</v>
      </c>
    </row>
    <row r="181" spans="1:2" x14ac:dyDescent="0.25">
      <c r="A181" s="46">
        <v>44307</v>
      </c>
      <c r="B181" s="44">
        <v>35</v>
      </c>
    </row>
    <row r="182" spans="1:2" x14ac:dyDescent="0.25">
      <c r="A182" s="46">
        <v>44321</v>
      </c>
      <c r="B182" s="44">
        <v>16</v>
      </c>
    </row>
    <row r="183" spans="1:2" x14ac:dyDescent="0.25">
      <c r="A183" s="46">
        <v>44349</v>
      </c>
      <c r="B183" s="44">
        <v>6</v>
      </c>
    </row>
    <row r="184" spans="1:2" x14ac:dyDescent="0.25">
      <c r="A184" s="46">
        <v>44405</v>
      </c>
      <c r="B184" s="44">
        <v>1</v>
      </c>
    </row>
    <row r="185" spans="1:2" x14ac:dyDescent="0.25">
      <c r="A185" s="46">
        <v>44433</v>
      </c>
      <c r="B185" s="44">
        <v>4</v>
      </c>
    </row>
    <row r="186" spans="1:2" x14ac:dyDescent="0.25">
      <c r="A186" s="46">
        <v>44447</v>
      </c>
      <c r="B186" s="44">
        <f>1/3</f>
        <v>0.33333333333333331</v>
      </c>
    </row>
    <row r="187" spans="1:2" x14ac:dyDescent="0.25">
      <c r="A187" s="46">
        <v>44461</v>
      </c>
      <c r="B187" s="44">
        <f>1/3</f>
        <v>0.33333333333333331</v>
      </c>
    </row>
    <row r="188" spans="1:2" x14ac:dyDescent="0.25">
      <c r="A188" s="46">
        <v>44474</v>
      </c>
      <c r="B188" s="44">
        <v>12</v>
      </c>
    </row>
    <row r="189" spans="1:2" x14ac:dyDescent="0.25">
      <c r="A189" s="46">
        <v>44517</v>
      </c>
      <c r="B189" s="44">
        <v>20</v>
      </c>
    </row>
    <row r="190" spans="1:2" x14ac:dyDescent="0.25">
      <c r="A190" s="46">
        <v>44573</v>
      </c>
      <c r="B190" s="44">
        <v>300</v>
      </c>
    </row>
    <row r="191" spans="1:2" x14ac:dyDescent="0.25">
      <c r="A191" s="46">
        <v>44587</v>
      </c>
      <c r="B191" s="44">
        <f>1/3</f>
        <v>0.33333333333333331</v>
      </c>
    </row>
    <row r="192" spans="1:2" x14ac:dyDescent="0.25">
      <c r="A192" s="46">
        <v>44601</v>
      </c>
      <c r="B192" s="44">
        <f>10/3</f>
        <v>3.3333333333333335</v>
      </c>
    </row>
    <row r="193" spans="1:2" x14ac:dyDescent="0.25">
      <c r="A193" s="46">
        <v>44909</v>
      </c>
      <c r="B193" s="44">
        <v>2</v>
      </c>
    </row>
    <row r="194" spans="1:2" x14ac:dyDescent="0.25">
      <c r="A194" s="46">
        <v>44937</v>
      </c>
      <c r="B194" s="44">
        <v>37</v>
      </c>
    </row>
    <row r="195" spans="1:2" x14ac:dyDescent="0.25">
      <c r="A195" s="46">
        <v>44979</v>
      </c>
      <c r="B195" s="44">
        <v>26</v>
      </c>
    </row>
    <row r="196" spans="1:2" x14ac:dyDescent="0.25">
      <c r="A196" s="46">
        <v>45021</v>
      </c>
      <c r="B196" s="44">
        <v>132</v>
      </c>
    </row>
    <row r="197" spans="1:2" x14ac:dyDescent="0.25">
      <c r="A197" s="46">
        <v>45231</v>
      </c>
      <c r="B197" s="44">
        <f>1/3</f>
        <v>0.33333333333333331</v>
      </c>
    </row>
    <row r="198" spans="1:2" x14ac:dyDescent="0.25">
      <c r="A198" s="46">
        <v>45245</v>
      </c>
      <c r="B198" s="44">
        <f>1/3</f>
        <v>0.33333333333333331</v>
      </c>
    </row>
    <row r="199" spans="1:2" x14ac:dyDescent="0.25">
      <c r="A199" s="46">
        <v>45329</v>
      </c>
      <c r="B199" s="44">
        <f>1/3</f>
        <v>0.33333333333333331</v>
      </c>
    </row>
    <row r="200" spans="1:2" x14ac:dyDescent="0.25">
      <c r="A200" s="46">
        <v>45357</v>
      </c>
      <c r="B200" s="45">
        <f>1/3</f>
        <v>0.33333333333333331</v>
      </c>
    </row>
    <row r="201" spans="1:2" x14ac:dyDescent="0.25">
      <c r="A201" s="46">
        <v>45386</v>
      </c>
      <c r="B201" s="44">
        <v>40</v>
      </c>
    </row>
    <row r="202" spans="1:2" x14ac:dyDescent="0.25">
      <c r="A202" s="46">
        <v>45414</v>
      </c>
    </row>
    <row r="203" spans="1:2" x14ac:dyDescent="0.25">
      <c r="A203" s="46">
        <v>45428</v>
      </c>
      <c r="B203" s="44">
        <v>0.33333000000000002</v>
      </c>
    </row>
    <row r="204" spans="1:2" x14ac:dyDescent="0.25">
      <c r="A204" s="46">
        <v>45428</v>
      </c>
      <c r="B204" s="44">
        <f>1/3</f>
        <v>0.33333333333333331</v>
      </c>
    </row>
    <row r="205" spans="1:2" x14ac:dyDescent="0.25">
      <c r="A205" s="46">
        <v>45455</v>
      </c>
      <c r="B205" s="44">
        <v>0.33333299999999999</v>
      </c>
    </row>
    <row r="206" spans="1:2" x14ac:dyDescent="0.25">
      <c r="A206" s="46">
        <v>45525</v>
      </c>
      <c r="B206" s="44">
        <f>10/3</f>
        <v>3.3333333333333335</v>
      </c>
    </row>
    <row r="207" spans="1:2" x14ac:dyDescent="0.25">
      <c r="A207" s="46">
        <v>45539</v>
      </c>
      <c r="B207" s="44">
        <f>10/3</f>
        <v>3.3333333333333335</v>
      </c>
    </row>
    <row r="208" spans="1:2" x14ac:dyDescent="0.25">
      <c r="A208" s="46">
        <v>45539</v>
      </c>
      <c r="B208" s="44">
        <f>10/3</f>
        <v>3.3333333333333335</v>
      </c>
    </row>
    <row r="209" spans="1:2" x14ac:dyDescent="0.25">
      <c r="A209" s="46">
        <v>45553</v>
      </c>
      <c r="B209" s="44">
        <f>10/3</f>
        <v>3.3333333333333335</v>
      </c>
    </row>
    <row r="210" spans="1:2" x14ac:dyDescent="0.25">
      <c r="A210" s="46">
        <v>45581</v>
      </c>
      <c r="B210" s="44">
        <f>10/3</f>
        <v>3.3333333333333335</v>
      </c>
    </row>
    <row r="211" spans="1:2" x14ac:dyDescent="0.25">
      <c r="A211" s="46">
        <v>45595</v>
      </c>
      <c r="B211" s="44">
        <v>10</v>
      </c>
    </row>
    <row r="212" spans="1:2" x14ac:dyDescent="0.25">
      <c r="A212" s="46">
        <v>45609</v>
      </c>
      <c r="B212" s="44">
        <f>10/3</f>
        <v>3.3333333333333335</v>
      </c>
    </row>
    <row r="213" spans="1:2" x14ac:dyDescent="0.25">
      <c r="A213" s="46">
        <v>45618</v>
      </c>
      <c r="B213" s="44">
        <f>1/3</f>
        <v>0.33333333333333331</v>
      </c>
    </row>
    <row r="214" spans="1:2" x14ac:dyDescent="0.25">
      <c r="A214" s="46">
        <v>45632</v>
      </c>
      <c r="B214" s="45">
        <v>2</v>
      </c>
    </row>
    <row r="215" spans="1:2" x14ac:dyDescent="0.25">
      <c r="A215" s="46">
        <v>45646</v>
      </c>
      <c r="B215" s="44">
        <v>5</v>
      </c>
    </row>
    <row r="216" spans="1:2" x14ac:dyDescent="0.25">
      <c r="A216" s="46">
        <v>45674</v>
      </c>
      <c r="B216" s="44">
        <v>8</v>
      </c>
    </row>
    <row r="217" spans="1:2" x14ac:dyDescent="0.25">
      <c r="A217" s="46">
        <v>45688</v>
      </c>
      <c r="B217" s="44">
        <v>2</v>
      </c>
    </row>
    <row r="218" spans="1:2" x14ac:dyDescent="0.25">
      <c r="A218" s="46">
        <v>45702</v>
      </c>
      <c r="B218" s="44">
        <v>1</v>
      </c>
    </row>
    <row r="219" spans="1:2" x14ac:dyDescent="0.25">
      <c r="A219" s="46">
        <v>45716</v>
      </c>
      <c r="B219" s="44">
        <v>3</v>
      </c>
    </row>
    <row r="220" spans="1:2" x14ac:dyDescent="0.25">
      <c r="A220" s="46">
        <v>45729</v>
      </c>
      <c r="B220" s="44">
        <v>4</v>
      </c>
    </row>
    <row r="221" spans="1:2" x14ac:dyDescent="0.25">
      <c r="A221" s="46"/>
    </row>
  </sheetData>
  <sortState ref="A2:B22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5:B126 B130 B106:B116 B118:B122 B138 B153 B142 B1:B91 B159:B166 B169:B201 B203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232D70-D1D5-495D-BC07-82E6517F71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624D3C-F24C-4B2C-AA0F-1E82793C9B8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CB97F8-F240-4D74-84A2-88F6BE0BD458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terms/"/>
    <ds:schemaRef ds:uri="d602efd0-98a8-4264-882b-5af550c3ef7a"/>
    <ds:schemaRef ds:uri="http://purl.org/dc/dcmitype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2025-03-25T10:50:24Z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