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18168" windowHeight="4716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coli'!$A$1:$B$286</definedName>
    <definedName name="_xlnm._FilterDatabase" localSheetId="2" hidden="1">'Faecal streptococci'!$A$1:$B$125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6" i="3" l="1"/>
  <c r="B105" i="3"/>
  <c r="B101" i="3"/>
  <c r="B92" i="3"/>
  <c r="B86" i="3"/>
  <c r="B82" i="3"/>
  <c r="B81" i="3"/>
  <c r="B80" i="3"/>
  <c r="B75" i="3"/>
  <c r="B73" i="3"/>
  <c r="B67" i="3"/>
  <c r="B64" i="3"/>
  <c r="B63" i="3"/>
  <c r="B46" i="3"/>
  <c r="B49" i="3" l="1"/>
  <c r="B50" i="3" l="1"/>
  <c r="B108" i="3"/>
  <c r="B68" i="2" l="1"/>
  <c r="B44" i="3" l="1"/>
  <c r="B24" i="2" l="1"/>
  <c r="B23" i="3" l="1"/>
  <c r="B22" i="2"/>
  <c r="B2" i="2" l="1"/>
  <c r="B14" i="2" l="1"/>
  <c r="B13" i="2" l="1"/>
  <c r="B12" i="2" l="1"/>
  <c r="B10" i="3" l="1"/>
  <c r="B10" i="2"/>
  <c r="B7" i="2" l="1"/>
  <c r="B4" i="3" l="1"/>
  <c r="B4" i="2"/>
  <c r="B3" i="2" l="1"/>
  <c r="B2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<sst xmlns="http://schemas.openxmlformats.org/spreadsheetml/2006/main" count="58" uniqueCount="35">
  <si>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</si>
  <si>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</si>
  <si>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</si>
  <si>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</si>
  <si>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</si>
  <si>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</si>
  <si>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</si>
  <si>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</si>
  <si>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</si>
  <si>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</si>
  <si>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</si>
  <si>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</si>
  <si>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</si>
  <si>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</si>
  <si>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</si>
  <si>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</si>
  <si>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</si>
  <si>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Muizenberg surfing area</t>
  </si>
  <si>
    <t>Not Enough Data</t>
  </si>
  <si>
    <t>Poor</t>
  </si>
  <si>
    <t>600/600</t>
  </si>
  <si>
    <t>Good</t>
  </si>
  <si>
    <t>183/-</t>
  </si>
  <si>
    <t>Excellent</t>
  </si>
  <si>
    <t>10987/363</t>
  </si>
  <si>
    <t>48/-</t>
  </si>
  <si>
    <t>815/695</t>
  </si>
  <si>
    <t>88/-</t>
  </si>
  <si>
    <t>135/-</t>
  </si>
  <si>
    <t>Sufficient</t>
  </si>
  <si>
    <t>450/450</t>
  </si>
  <si>
    <t>144/-</t>
  </si>
  <si>
    <t>50/-</t>
  </si>
  <si>
    <t>450/143</t>
  </si>
  <si>
    <t>52/-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</si>
</sst>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2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0" fontId="2" fillId="0" borderId="0" xfId="0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0" fontId="0" fillId="0" borderId="0" xfId="0" applyFont="1" applyAlignment="1">
      <alignment horizontal="left"/>
    </xf>
    <xf numFmtId="167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65" fontId="0" fillId="0" borderId="0" xfId="0" applyNumberFormat="1" applyFon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165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F23" sqref="F23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4" customFormat="1" ht="7.5" customHeight="1" x14ac:dyDescent="0.3">
      <c r="A1" s="8"/>
      <c r="B1" s="8"/>
      <c r="C1" s="9"/>
      <c r="D1" s="8"/>
      <c r="E1" s="8"/>
      <c r="F1" s="10"/>
      <c r="G1" s="10"/>
      <c r="H1" s="10"/>
      <c r="I1" s="14"/>
      <c r="J1" s="3"/>
    </row>
    <row r="2" spans="1:10" s="4" customFormat="1" x14ac:dyDescent="0.3">
      <c r="A2" s="8"/>
      <c r="B2" s="16"/>
      <c r="C2" s="18"/>
      <c r="D2" s="16"/>
      <c r="E2" s="16"/>
      <c r="F2" s="13"/>
      <c r="G2" s="13"/>
      <c r="H2" s="13"/>
      <c r="I2" s="17"/>
      <c r="J2" s="17"/>
    </row>
    <row r="3" spans="1:10" s="4" customFormat="1" ht="15" customHeight="1" x14ac:dyDescent="0.3">
      <c r="A3" s="8"/>
      <c r="B3" s="16"/>
      <c r="C3" s="56" t="s">
        <v>17</v>
      </c>
      <c r="D3" s="56"/>
      <c r="E3" s="56"/>
      <c r="F3" s="13"/>
      <c r="G3" s="13"/>
      <c r="H3" s="13"/>
      <c r="I3" s="17"/>
      <c r="J3" s="34"/>
    </row>
    <row r="4" spans="1:10" s="4" customFormat="1" ht="15" customHeight="1" x14ac:dyDescent="0.3">
      <c r="A4" s="8"/>
      <c r="B4" s="16"/>
      <c r="C4" s="56"/>
      <c r="D4" s="56"/>
      <c r="E4" s="56"/>
      <c r="F4" s="13"/>
      <c r="G4" s="13"/>
      <c r="H4" s="13"/>
      <c r="I4" s="17"/>
      <c r="J4" s="17"/>
    </row>
    <row r="5" spans="1:10" s="19" customFormat="1" ht="8.25" customHeight="1" x14ac:dyDescent="0.55000000000000004">
      <c r="A5" s="8"/>
      <c r="B5" s="16"/>
      <c r="C5" s="22"/>
      <c r="D5" s="22"/>
      <c r="E5" s="22"/>
      <c r="F5" s="13"/>
      <c r="G5" s="13"/>
      <c r="H5" s="13"/>
      <c r="I5" s="17"/>
      <c r="J5" s="17"/>
    </row>
    <row r="6" spans="1:10" s="4" customFormat="1" ht="15" customHeight="1" x14ac:dyDescent="0.3">
      <c r="A6" s="8"/>
      <c r="B6" s="16"/>
      <c r="C6" s="7" t="s">
        <v>15</v>
      </c>
      <c r="D6" s="57"/>
      <c r="E6" s="57"/>
      <c r="F6" s="13"/>
      <c r="G6" s="13"/>
      <c r="H6" s="13"/>
      <c r="I6" s="17"/>
      <c r="J6" s="17"/>
    </row>
    <row r="7" spans="1:10" s="4" customFormat="1" ht="15" customHeight="1" x14ac:dyDescent="0.3">
      <c r="A7" s="8"/>
      <c r="B7" s="16"/>
      <c r="C7" s="7" t="s">
        <v>8</v>
      </c>
      <c r="D7" s="57"/>
      <c r="E7" s="57"/>
      <c r="F7" s="13"/>
      <c r="G7" s="13"/>
      <c r="H7" s="13"/>
      <c r="I7" s="17"/>
      <c r="J7" s="17"/>
    </row>
    <row r="8" spans="1:10" s="4" customFormat="1" ht="15" customHeight="1" x14ac:dyDescent="0.3">
      <c r="A8" s="8"/>
      <c r="B8" s="16"/>
      <c r="C8" s="7" t="s">
        <v>9</v>
      </c>
      <c r="D8" s="57"/>
      <c r="E8" s="57"/>
      <c r="F8" s="13"/>
      <c r="G8" s="13"/>
      <c r="H8" s="13"/>
      <c r="I8" s="17"/>
      <c r="J8" s="17"/>
    </row>
    <row r="9" spans="1:10" s="4" customFormat="1" ht="15" customHeight="1" x14ac:dyDescent="0.3">
      <c r="A9" s="8"/>
      <c r="B9" s="16"/>
      <c r="C9" s="7" t="s">
        <v>3</v>
      </c>
      <c r="D9" s="57">
        <v>12</v>
      </c>
      <c r="E9" s="57"/>
      <c r="F9" s="13"/>
      <c r="G9" s="13"/>
      <c r="H9" s="13"/>
      <c r="I9" s="17"/>
      <c r="J9" s="17"/>
    </row>
    <row r="10" spans="1:10" s="4" customFormat="1" ht="7.5" customHeight="1" x14ac:dyDescent="0.3">
      <c r="A10" s="8"/>
      <c r="B10" s="16"/>
      <c r="C10" s="15"/>
      <c r="D10" s="16"/>
      <c r="E10" s="16"/>
      <c r="F10" s="13"/>
      <c r="G10" s="13"/>
      <c r="H10" s="13"/>
      <c r="I10" s="17"/>
      <c r="J10" s="17"/>
    </row>
    <row r="11" spans="1:10" s="4" customFormat="1" ht="15" customHeight="1" x14ac:dyDescent="0.3">
      <c r="A11" s="8"/>
      <c r="B11" s="35"/>
      <c r="C11" s="7" t="s">
        <v>10</v>
      </c>
      <c r="D11" s="54">
        <f ca="1">TODAY()</f>
        <v>45741</v>
      </c>
      <c r="E11" s="54"/>
      <c r="F11" s="13"/>
      <c r="G11" s="13"/>
      <c r="H11" s="13"/>
      <c r="I11" s="17"/>
      <c r="J11" s="17"/>
    </row>
    <row r="12" spans="1:10" s="4" customFormat="1" ht="15" customHeight="1" x14ac:dyDescent="0.3">
      <c r="A12" s="8"/>
      <c r="B12" s="16"/>
      <c r="C12" s="7" t="s">
        <v>13</v>
      </c>
      <c r="D12" s="54">
        <f>MAX(MAX('Escherichia coli'!A:A),MAX('Faecal streptococci'!A:A))</f>
        <v>45729</v>
      </c>
      <c r="E12" s="54"/>
      <c r="F12" s="11"/>
      <c r="G12" s="13"/>
      <c r="H12" s="13"/>
      <c r="I12" s="17"/>
      <c r="J12" s="17"/>
    </row>
    <row r="13" spans="1:10" s="4" customFormat="1" ht="15" customHeight="1" x14ac:dyDescent="0.3">
      <c r="A13" s="8"/>
      <c r="B13" s="16"/>
      <c r="C13" s="7" t="s">
        <v>4</v>
      </c>
      <c r="D13" s="55">
        <f ca="1">YEAR(D11)+(MONTH(D11)&gt;=D9)</f>
        <v>2025</v>
      </c>
      <c r="E13" s="55"/>
      <c r="F13" s="12"/>
      <c r="G13" s="13"/>
      <c r="H13" s="13"/>
      <c r="I13" s="17"/>
      <c r="J13" s="17"/>
    </row>
    <row r="14" spans="1:10" s="4" customFormat="1" x14ac:dyDescent="0.3">
      <c r="A14" s="8"/>
      <c r="B14" s="16"/>
      <c r="C14" s="7" t="s">
        <v>11</v>
      </c>
      <c r="D14" s="54" t="str">
        <f ca="1">CONCATENATE(TEXT(DATE(D13-1,D9,1), "yyyy/mm/dd")," - ",TEXT(D11,"yyyy/mm/dd"))</f>
        <v>2024/12/01 - 2025/03/25</v>
      </c>
      <c r="E14" s="54"/>
      <c r="F14" s="32"/>
      <c r="G14" s="13"/>
      <c r="H14" s="13"/>
      <c r="I14" s="17"/>
      <c r="J14" s="17"/>
    </row>
    <row r="15" spans="1:10" s="4" customFormat="1" x14ac:dyDescent="0.3">
      <c r="A15" s="8"/>
      <c r="B15" s="16"/>
      <c r="C15" s="7" t="s">
        <v>12</v>
      </c>
      <c r="D15" s="54" t="str">
        <f ca="1">CONCATENATE(TEXT(DATE(D13-5,D9,1), "yyyy/mm/dd")," - ",TEXT(D11,"yyyy/mm/dd"))</f>
        <v>2020/12/01 - 2025/03/25</v>
      </c>
      <c r="E15" s="54"/>
      <c r="F15" s="32"/>
      <c r="G15" s="13"/>
      <c r="H15" s="13"/>
      <c r="I15" s="17"/>
      <c r="J15" s="17"/>
    </row>
    <row r="16" spans="1:10" s="4" customFormat="1" x14ac:dyDescent="0.3">
      <c r="A16" s="8"/>
      <c r="B16" s="8"/>
      <c r="C16" s="9"/>
      <c r="D16" s="8"/>
      <c r="E16" s="8"/>
      <c r="F16" s="36"/>
      <c r="G16" s="36"/>
      <c r="H16" s="36"/>
      <c r="I16" s="37"/>
      <c r="J16" s="38"/>
    </row>
    <row r="17" spans="1:13" s="4" customFormat="1" x14ac:dyDescent="0.3">
      <c r="A17" s="8"/>
      <c r="B17" s="8"/>
      <c r="C17" s="21"/>
      <c r="D17" s="6" t="s">
        <v>6</v>
      </c>
      <c r="E17" s="41" t="s">
        <v>14</v>
      </c>
      <c r="F17" s="31" t="s">
        <v>7</v>
      </c>
      <c r="G17" s="41" t="s">
        <v>14</v>
      </c>
      <c r="H17" s="36"/>
      <c r="I17" s="37"/>
      <c r="J17" s="39"/>
    </row>
    <row r="18" spans="1:13" s="4" customFormat="1" x14ac:dyDescent="0.3">
      <c r="A18" s="8"/>
      <c r="B18" s="8"/>
      <c r="C18" s="29" t="str">
        <f ca="1">CONCATENATE(D13," to date")</f>
        <v>2025 to date</v>
      </c>
      <c r="D18" s="30" t="s">
        <v>18</v>
      </c>
      <c r="E18" s="27"/>
      <c r="F18" s="23" t="s">
        <v>23</v>
      </c>
      <c r="G18" s="27" t="s">
        <v>32</v>
      </c>
      <c r="H18" s="20"/>
      <c r="I18" s="28"/>
      <c r="J18" s="3"/>
    </row>
    <row r="19" spans="1:13" s="4" customFormat="1" x14ac:dyDescent="0.3">
      <c r="A19" s="8"/>
      <c r="B19" s="8"/>
      <c r="C19" s="29" t="str">
        <f ca="1">CONCATENATE(D13-5," - ",D13)</f>
        <v>2020 - 2025</v>
      </c>
      <c r="D19" s="23" t="s">
        <v>21</v>
      </c>
      <c r="E19" s="40" t="s">
        <v>28</v>
      </c>
      <c r="F19" s="23" t="s">
        <v>29</v>
      </c>
      <c r="G19" s="40" t="s">
        <v>33</v>
      </c>
      <c r="H19" s="20"/>
      <c r="I19" s="33"/>
      <c r="J19" s="5"/>
      <c r="K19" s="5"/>
      <c r="L19" s="5"/>
      <c r="M19" s="5"/>
    </row>
    <row r="20" spans="1:13" s="4" customFormat="1" x14ac:dyDescent="0.3">
      <c r="A20" s="8"/>
      <c r="B20" s="8"/>
      <c r="C20" s="29" t="s">
        <v>16</v>
      </c>
      <c r="D20" s="23" t="s">
        <v>23</v>
      </c>
      <c r="E20" s="40" t="s">
        <v>27</v>
      </c>
      <c r="F20" s="23" t="s">
        <v>19</v>
      </c>
      <c r="G20" s="40" t="s">
        <v>30</v>
      </c>
      <c r="H20" s="20"/>
      <c r="I20" s="28"/>
      <c r="J20" s="5"/>
      <c r="K20" s="5"/>
      <c r="L20" s="5"/>
      <c r="M20" s="5"/>
    </row>
    <row r="21" spans="1:13" s="4" customFormat="1" x14ac:dyDescent="0.3">
      <c r="A21" s="8"/>
      <c r="B21" s="8"/>
      <c r="C21" s="15" t="s">
        <v>5</v>
      </c>
      <c r="D21" s="23" t="s">
        <v>23</v>
      </c>
      <c r="E21" s="40" t="s">
        <v>27</v>
      </c>
      <c r="F21" s="23" t="s">
        <v>23</v>
      </c>
      <c r="G21" s="40" t="s">
        <v>34</v>
      </c>
      <c r="H21" s="20"/>
      <c r="I21" s="28"/>
      <c r="J21" s="5"/>
      <c r="K21" s="5"/>
      <c r="L21" s="5"/>
      <c r="M21" s="5"/>
    </row>
    <row r="22" spans="1:13" s="4" customFormat="1" x14ac:dyDescent="0.3">
      <c r="A22" s="8"/>
      <c r="B22" s="8"/>
      <c r="C22" s="59">
        <v>2025</v>
      </c>
      <c r="D22" s="8" t="s">
        <v>18</v>
      </c>
      <c r="E22" s="40"/>
      <c r="F22" s="23" t="s">
        <v>23</v>
      </c>
      <c r="G22" s="40" t="s">
        <v>32</v>
      </c>
      <c r="H22" s="20"/>
      <c r="I22" s="28"/>
      <c r="J22" s="5"/>
      <c r="K22" s="5"/>
      <c r="L22" s="5"/>
      <c r="M22" s="5"/>
    </row>
    <row r="23" spans="1:13" s="4" customFormat="1" x14ac:dyDescent="0.3">
      <c r="A23" s="8"/>
      <c r="B23" s="8"/>
      <c r="C23" s="21">
        <v>2024</v>
      </c>
      <c r="D23" s="8" t="s">
        <v>23</v>
      </c>
      <c r="E23" s="40" t="s">
        <v>27</v>
      </c>
      <c r="F23" s="23" t="s">
        <v>19</v>
      </c>
      <c r="G23" s="40" t="s">
        <v>30</v>
      </c>
      <c r="H23" s="20"/>
      <c r="I23" s="28"/>
      <c r="J23" s="5"/>
      <c r="K23" s="5"/>
      <c r="L23" s="5"/>
      <c r="M23" s="5"/>
    </row>
    <row r="24" spans="1:13" s="4" customFormat="1" x14ac:dyDescent="0.3">
      <c r="A24" s="8"/>
      <c r="B24" s="8"/>
      <c r="C24" s="21">
        <v>2023</v>
      </c>
      <c r="D24" s="8" t="s">
        <v>19</v>
      </c>
      <c r="E24" s="40" t="s">
        <v>26</v>
      </c>
      <c r="F24" s="23" t="s">
        <v>21</v>
      </c>
      <c r="G24" s="40" t="s">
        <v>31</v>
      </c>
      <c r="H24" s="20"/>
      <c r="I24" s="28"/>
      <c r="J24" s="5"/>
      <c r="K24" s="5"/>
      <c r="L24" s="5"/>
      <c r="M24" s="5"/>
    </row>
    <row r="25" spans="1:13" s="4" customFormat="1" x14ac:dyDescent="0.3">
      <c r="A25" s="8"/>
      <c r="B25" s="8"/>
      <c r="C25" s="21">
        <v>2022</v>
      </c>
      <c r="D25" s="8" t="s">
        <v>19</v>
      </c>
      <c r="E25" s="40" t="s">
        <v>24</v>
      </c>
      <c r="F25" s="23" t="s">
        <v>23</v>
      </c>
      <c r="G25" s="40" t="s">
        <v>25</v>
      </c>
      <c r="H25" s="20"/>
      <c r="I25" s="28"/>
      <c r="J25" s="5"/>
      <c r="K25" s="5"/>
      <c r="L25" s="5"/>
      <c r="M25" s="5"/>
    </row>
    <row r="26" spans="1:13" s="4" customFormat="1" x14ac:dyDescent="0.3">
      <c r="A26" s="8"/>
      <c r="B26" s="8"/>
      <c r="C26" s="21">
        <v>2021</v>
      </c>
      <c r="D26" s="4" t="s">
        <v>19</v>
      </c>
      <c r="E26" s="27" t="s">
        <v>20</v>
      </c>
      <c r="F26" s="24" t="s">
        <v>21</v>
      </c>
      <c r="G26" s="27" t="s">
        <v>22</v>
      </c>
      <c r="H26" s="20"/>
      <c r="I26" s="28"/>
      <c r="J26" s="5"/>
    </row>
    <row r="27" spans="1:13" s="4" customFormat="1" x14ac:dyDescent="0.3">
      <c r="A27" s="8"/>
      <c r="B27" s="8"/>
      <c r="C27" s="58">
        <v>2020</v>
      </c>
      <c r="D27" s="23" t="s">
        <v>18</v>
      </c>
      <c r="E27" s="8"/>
      <c r="F27" s="25" t="s">
        <v>18</v>
      </c>
      <c r="G27" s="20"/>
      <c r="H27" s="20"/>
      <c r="I27" s="28"/>
      <c r="J27" s="5"/>
    </row>
    <row r="28" spans="1:13" s="4" customFormat="1" x14ac:dyDescent="0.3">
      <c r="A28" s="8"/>
      <c r="B28" s="8"/>
      <c r="C28" s="16">
        <v>2014</v>
      </c>
      <c r="D28" s="23" t="s">
        <v>18</v>
      </c>
      <c r="E28" s="8"/>
      <c r="F28" s="25" t="s">
        <v>18</v>
      </c>
      <c r="G28" s="20"/>
      <c r="H28" s="20"/>
      <c r="I28" s="28"/>
      <c r="J28" s="5"/>
    </row>
    <row r="29" spans="1:13" s="4" customFormat="1" x14ac:dyDescent="0.3">
      <c r="A29" s="8"/>
      <c r="B29" s="8"/>
      <c r="C29" s="16"/>
      <c r="D29" s="23"/>
      <c r="E29" s="8"/>
      <c r="F29" s="25"/>
      <c r="G29" s="20"/>
      <c r="H29" s="20"/>
      <c r="I29" s="28"/>
      <c r="J29" s="5"/>
    </row>
    <row r="30" spans="1:13" s="4" customFormat="1" x14ac:dyDescent="0.3">
      <c r="A30" s="8"/>
      <c r="B30" s="8"/>
      <c r="C30" s="16"/>
      <c r="D30" s="23"/>
      <c r="E30" s="8"/>
      <c r="F30" s="25"/>
      <c r="G30" s="20"/>
      <c r="H30" s="20"/>
      <c r="I30" s="28"/>
      <c r="J30" s="5"/>
    </row>
    <row r="31" spans="1:13" s="4" customFormat="1" x14ac:dyDescent="0.3">
      <c r="A31" s="8"/>
      <c r="B31" s="8"/>
      <c r="C31" s="16"/>
      <c r="D31" s="23"/>
      <c r="E31" s="8"/>
      <c r="F31" s="25"/>
      <c r="G31" s="20"/>
      <c r="H31" s="20"/>
      <c r="I31" s="28"/>
      <c r="J31" s="5"/>
    </row>
    <row r="32" spans="1:13" s="4" customFormat="1" x14ac:dyDescent="0.3">
      <c r="A32" s="8"/>
      <c r="B32" s="8"/>
      <c r="C32" s="16"/>
      <c r="D32" s="23"/>
      <c r="E32" s="8"/>
      <c r="F32" s="25"/>
      <c r="G32" s="20"/>
      <c r="H32" s="20"/>
      <c r="I32" s="28"/>
      <c r="J32" s="5"/>
    </row>
    <row r="33" spans="1:10" s="4" customFormat="1" x14ac:dyDescent="0.3">
      <c r="A33" s="8"/>
      <c r="B33" s="8"/>
      <c r="C33" s="16"/>
      <c r="D33" s="23"/>
      <c r="E33" s="8"/>
      <c r="F33" s="25"/>
      <c r="G33" s="20"/>
      <c r="H33" s="20"/>
      <c r="I33" s="28"/>
      <c r="J33" s="5"/>
    </row>
    <row r="34" spans="1:10" s="4" customFormat="1" x14ac:dyDescent="0.3">
      <c r="A34" s="8"/>
      <c r="B34" s="8"/>
      <c r="C34" s="16"/>
      <c r="D34" s="23"/>
      <c r="E34" s="8"/>
      <c r="F34" s="25"/>
      <c r="G34" s="20"/>
      <c r="H34" s="20"/>
      <c r="I34" s="28"/>
      <c r="J34" s="5"/>
    </row>
    <row r="35" spans="1:10" s="4" customFormat="1" x14ac:dyDescent="0.3">
      <c r="A35" s="8"/>
      <c r="B35" s="8"/>
      <c r="C35" s="16"/>
      <c r="D35" s="23"/>
      <c r="E35" s="8"/>
      <c r="F35" s="25"/>
      <c r="G35" s="20"/>
      <c r="H35" s="20"/>
      <c r="I35" s="28"/>
      <c r="J35" s="5"/>
    </row>
    <row r="36" spans="1:10" s="4" customFormat="1" x14ac:dyDescent="0.3">
      <c r="A36" s="8"/>
      <c r="B36" s="8"/>
      <c r="C36" s="16"/>
      <c r="D36" s="23"/>
      <c r="E36" s="8"/>
      <c r="F36" s="25"/>
      <c r="G36" s="20"/>
      <c r="H36" s="20"/>
      <c r="I36" s="28"/>
      <c r="J36" s="5"/>
    </row>
    <row r="37" spans="1:10" s="4" customFormat="1" x14ac:dyDescent="0.3">
      <c r="A37" s="8"/>
      <c r="B37" s="8"/>
      <c r="C37" s="16"/>
      <c r="D37" s="23"/>
      <c r="E37" s="8"/>
      <c r="F37" s="25"/>
      <c r="G37" s="20"/>
      <c r="H37" s="20"/>
      <c r="I37" s="28"/>
      <c r="J37" s="5"/>
    </row>
    <row r="38" spans="1:10" s="4" customFormat="1" x14ac:dyDescent="0.3">
      <c r="A38" s="8"/>
      <c r="B38" s="8"/>
      <c r="C38" s="16"/>
      <c r="D38" s="23"/>
      <c r="E38" s="8"/>
      <c r="F38" s="25"/>
      <c r="G38" s="20"/>
      <c r="H38" s="20"/>
      <c r="I38" s="28"/>
      <c r="J38" s="5"/>
    </row>
    <row r="39" spans="1:10" s="4" customFormat="1" x14ac:dyDescent="0.3">
      <c r="A39" s="8"/>
      <c r="B39" s="8"/>
      <c r="C39" s="16"/>
      <c r="D39" s="23"/>
      <c r="E39" s="8"/>
      <c r="F39" s="25"/>
      <c r="G39" s="20"/>
      <c r="H39" s="20"/>
      <c r="I39" s="28"/>
      <c r="J39" s="5"/>
    </row>
    <row r="40" spans="1:10" s="4" customFormat="1" x14ac:dyDescent="0.3">
      <c r="A40" s="8"/>
      <c r="B40" s="8"/>
      <c r="C40" s="16"/>
      <c r="D40" s="23"/>
      <c r="E40" s="8"/>
      <c r="F40" s="25"/>
      <c r="G40" s="20"/>
      <c r="H40" s="20"/>
      <c r="I40" s="28"/>
      <c r="J40" s="5"/>
    </row>
    <row r="41" spans="1:10" s="4" customFormat="1" x14ac:dyDescent="0.3">
      <c r="A41" s="8"/>
      <c r="B41" s="8"/>
      <c r="C41" s="16"/>
      <c r="D41" s="23"/>
      <c r="E41" s="8"/>
      <c r="F41" s="25"/>
      <c r="G41" s="20"/>
      <c r="H41" s="20"/>
      <c r="I41" s="28"/>
      <c r="J41" s="5"/>
    </row>
    <row r="42" spans="1:10" s="4" customFormat="1" x14ac:dyDescent="0.3">
      <c r="A42" s="8"/>
      <c r="B42" s="8"/>
      <c r="C42" s="16"/>
      <c r="D42" s="23"/>
      <c r="E42" s="8"/>
      <c r="F42" s="25"/>
      <c r="G42" s="20"/>
      <c r="H42" s="20"/>
      <c r="I42" s="28"/>
      <c r="J42" s="5"/>
    </row>
    <row r="43" spans="1:10" s="4" customFormat="1" x14ac:dyDescent="0.3">
      <c r="A43" s="8"/>
      <c r="B43" s="8"/>
      <c r="C43" s="16"/>
      <c r="D43" s="23"/>
      <c r="E43" s="8"/>
      <c r="F43" s="25"/>
      <c r="G43" s="20"/>
      <c r="H43" s="20"/>
      <c r="I43" s="28"/>
      <c r="J43" s="5"/>
    </row>
    <row r="44" spans="1:10" s="4" customFormat="1" x14ac:dyDescent="0.3">
      <c r="A44" s="8"/>
      <c r="B44" s="8"/>
      <c r="C44" s="16"/>
      <c r="D44" s="23"/>
      <c r="E44" s="8"/>
      <c r="F44" s="25"/>
      <c r="G44" s="20"/>
      <c r="H44" s="20"/>
      <c r="I44" s="28"/>
      <c r="J44" s="5"/>
    </row>
    <row r="45" spans="1:10" s="4" customFormat="1" x14ac:dyDescent="0.3">
      <c r="A45" s="8"/>
      <c r="B45" s="8"/>
      <c r="C45" s="16"/>
      <c r="D45" s="23"/>
      <c r="E45" s="8"/>
      <c r="F45" s="23"/>
      <c r="G45" s="8"/>
      <c r="H45" s="8"/>
      <c r="I45" s="19"/>
    </row>
    <row r="46" spans="1:10" s="4" customFormat="1" x14ac:dyDescent="0.3">
      <c r="A46" s="8"/>
      <c r="B46" s="8"/>
      <c r="C46" s="16"/>
      <c r="D46" s="23"/>
      <c r="E46" s="8"/>
      <c r="F46" s="23"/>
      <c r="G46" s="8"/>
      <c r="H46" s="8"/>
      <c r="I46" s="19"/>
    </row>
    <row r="47" spans="1:10" s="4" customFormat="1" x14ac:dyDescent="0.3">
      <c r="A47" s="8"/>
      <c r="B47" s="8"/>
      <c r="C47" s="8"/>
      <c r="D47" s="23"/>
      <c r="E47" s="8"/>
      <c r="F47" s="23"/>
      <c r="G47" s="8"/>
      <c r="H47" s="8"/>
      <c r="I47" s="19"/>
    </row>
    <row r="48" spans="1:10" s="4" customFormat="1" x14ac:dyDescent="0.3">
      <c r="A48" s="8"/>
      <c r="B48" s="8"/>
      <c r="C48" s="8"/>
      <c r="D48" s="23"/>
      <c r="E48" s="8"/>
      <c r="F48" s="23"/>
      <c r="G48" s="8"/>
      <c r="H48" s="8"/>
      <c r="I48" s="19"/>
    </row>
    <row r="49" spans="1:9" s="4" customFormat="1" x14ac:dyDescent="0.3">
      <c r="A49" s="8"/>
      <c r="B49" s="8"/>
      <c r="C49" s="8"/>
      <c r="D49" s="23"/>
      <c r="E49" s="8"/>
      <c r="F49" s="23"/>
      <c r="G49" s="8"/>
      <c r="H49" s="8"/>
      <c r="I49" s="19"/>
    </row>
    <row r="50" spans="1:9" s="4" customFormat="1" x14ac:dyDescent="0.3">
      <c r="A50" s="8"/>
      <c r="B50" s="8"/>
      <c r="C50" s="8"/>
      <c r="D50" s="23"/>
      <c r="E50" s="8"/>
      <c r="F50" s="23"/>
      <c r="G50" s="8"/>
      <c r="H50" s="8"/>
      <c r="I50" s="19"/>
    </row>
    <row r="51" spans="1:9" s="4" customFormat="1" x14ac:dyDescent="0.3">
      <c r="A51" s="8"/>
      <c r="B51" s="8"/>
      <c r="C51" s="8"/>
      <c r="D51" s="23"/>
      <c r="E51" s="8"/>
      <c r="F51" s="23"/>
      <c r="G51" s="8"/>
      <c r="H51" s="8"/>
      <c r="I51" s="19"/>
    </row>
    <row r="52" spans="1:9" s="4" customFormat="1" x14ac:dyDescent="0.3">
      <c r="A52" s="8"/>
      <c r="B52" s="8"/>
      <c r="C52" s="8"/>
      <c r="D52" s="23"/>
      <c r="E52" s="8"/>
      <c r="F52" s="23"/>
      <c r="G52" s="8"/>
      <c r="H52" s="8"/>
      <c r="I52" s="19"/>
    </row>
    <row r="53" spans="1:9" s="4" customFormat="1" x14ac:dyDescent="0.3">
      <c r="A53" s="8"/>
      <c r="B53" s="8"/>
      <c r="C53" s="8"/>
      <c r="D53" s="23"/>
      <c r="E53" s="8"/>
      <c r="F53" s="23"/>
      <c r="G53" s="8"/>
      <c r="H53" s="8"/>
      <c r="I53" s="19"/>
    </row>
    <row r="54" spans="1:9" s="4" customFormat="1" x14ac:dyDescent="0.3">
      <c r="A54" s="8"/>
      <c r="B54" s="8"/>
      <c r="C54" s="8"/>
      <c r="D54" s="23"/>
      <c r="E54" s="8"/>
      <c r="F54" s="23"/>
      <c r="G54" s="8"/>
      <c r="H54" s="8"/>
      <c r="I54" s="19"/>
    </row>
    <row r="55" spans="1:9" s="4" customFormat="1" x14ac:dyDescent="0.3">
      <c r="A55" s="8"/>
      <c r="B55" s="8"/>
      <c r="C55" s="8"/>
      <c r="D55" s="23"/>
      <c r="E55" s="8"/>
      <c r="F55" s="23"/>
      <c r="G55" s="8"/>
      <c r="H55" s="8"/>
      <c r="I55" s="19"/>
    </row>
    <row r="56" spans="1:9" s="4" customFormat="1" x14ac:dyDescent="0.3">
      <c r="A56" s="8"/>
      <c r="B56" s="8"/>
      <c r="C56" s="8"/>
      <c r="D56" s="23"/>
      <c r="E56" s="8"/>
      <c r="F56" s="23"/>
      <c r="G56" s="8"/>
      <c r="H56" s="8"/>
      <c r="I56" s="19"/>
    </row>
    <row r="57" spans="1:9" s="4" customFormat="1" x14ac:dyDescent="0.3">
      <c r="A57" s="8"/>
      <c r="B57" s="8"/>
      <c r="C57" s="8"/>
      <c r="D57" s="23"/>
      <c r="E57" s="8"/>
      <c r="F57" s="23"/>
      <c r="G57" s="8"/>
      <c r="H57" s="8"/>
      <c r="I57" s="19"/>
    </row>
    <row r="58" spans="1:9" s="4" customFormat="1" x14ac:dyDescent="0.3">
      <c r="A58" s="8"/>
      <c r="B58" s="8"/>
      <c r="C58" s="8"/>
      <c r="D58" s="23"/>
      <c r="E58" s="8"/>
      <c r="F58" s="23"/>
      <c r="G58" s="8"/>
      <c r="H58" s="8"/>
      <c r="I58" s="19"/>
    </row>
    <row r="59" spans="1:9" s="4" customFormat="1" x14ac:dyDescent="0.3">
      <c r="A59" s="8"/>
      <c r="B59" s="8"/>
      <c r="C59" s="8"/>
      <c r="D59" s="23"/>
      <c r="E59" s="8"/>
      <c r="F59" s="23"/>
      <c r="G59" s="8"/>
      <c r="H59" s="8"/>
      <c r="I59" s="19"/>
    </row>
    <row r="60" spans="1:9" s="4" customFormat="1" x14ac:dyDescent="0.3">
      <c r="A60" s="8"/>
      <c r="B60" s="8"/>
      <c r="C60" s="8"/>
      <c r="D60" s="23"/>
      <c r="E60" s="8"/>
      <c r="F60" s="23"/>
      <c r="G60" s="8"/>
      <c r="H60" s="8"/>
      <c r="I60" s="19"/>
    </row>
    <row r="61" spans="1:9" s="4" customFormat="1" x14ac:dyDescent="0.3">
      <c r="A61" s="8"/>
      <c r="B61" s="8"/>
      <c r="C61" s="8"/>
      <c r="D61" s="23"/>
      <c r="E61" s="8"/>
      <c r="F61" s="23"/>
      <c r="G61" s="8"/>
      <c r="H61" s="8"/>
      <c r="I61" s="19"/>
    </row>
    <row r="62" spans="1:9" s="4" customFormat="1" x14ac:dyDescent="0.3">
      <c r="A62" s="8"/>
      <c r="B62" s="8"/>
      <c r="C62" s="8"/>
      <c r="D62" s="23"/>
      <c r="E62" s="8"/>
      <c r="F62" s="23"/>
      <c r="G62" s="8"/>
      <c r="H62" s="8"/>
      <c r="I62" s="19"/>
    </row>
    <row r="63" spans="1:9" s="4" customFormat="1" x14ac:dyDescent="0.3">
      <c r="A63" s="8"/>
      <c r="B63" s="8"/>
      <c r="C63" s="8"/>
      <c r="D63" s="23"/>
      <c r="E63" s="8"/>
      <c r="F63" s="23"/>
      <c r="G63" s="8"/>
      <c r="H63" s="8"/>
      <c r="I63" s="19"/>
    </row>
    <row r="64" spans="1:9" s="4" customFormat="1" x14ac:dyDescent="0.3">
      <c r="A64" s="8"/>
      <c r="B64" s="8"/>
      <c r="C64" s="8"/>
      <c r="D64" s="23"/>
      <c r="E64" s="8"/>
      <c r="F64" s="23"/>
      <c r="G64" s="8"/>
      <c r="H64" s="8"/>
      <c r="I64" s="19"/>
    </row>
    <row r="65" spans="1:10" s="4" customFormat="1" x14ac:dyDescent="0.3">
      <c r="A65" s="8"/>
      <c r="B65" s="8"/>
      <c r="C65" s="8"/>
      <c r="D65" s="23"/>
      <c r="E65" s="8"/>
      <c r="F65" s="23"/>
      <c r="G65" s="8"/>
      <c r="H65" s="8"/>
      <c r="I65" s="19"/>
    </row>
    <row r="66" spans="1:10" s="4" customFormat="1" x14ac:dyDescent="0.3">
      <c r="A66" s="8"/>
      <c r="B66" s="8"/>
      <c r="C66" s="8"/>
      <c r="D66" s="23"/>
      <c r="E66" s="8"/>
      <c r="F66" s="23"/>
      <c r="G66" s="8"/>
      <c r="H66" s="8"/>
      <c r="I66" s="19"/>
    </row>
    <row r="67" spans="1:10" s="4" customFormat="1" x14ac:dyDescent="0.3">
      <c r="A67" s="8"/>
      <c r="B67" s="8"/>
      <c r="C67" s="8"/>
      <c r="D67" s="23"/>
      <c r="E67" s="8"/>
      <c r="F67" s="23"/>
      <c r="G67" s="8"/>
      <c r="H67" s="8"/>
      <c r="I67" s="19"/>
    </row>
    <row r="68" spans="1:10" s="4" customFormat="1" x14ac:dyDescent="0.3">
      <c r="A68" s="8"/>
      <c r="B68" s="8"/>
      <c r="C68" s="8"/>
      <c r="D68" s="23"/>
      <c r="E68" s="8"/>
      <c r="F68" s="23"/>
      <c r="G68" s="8"/>
      <c r="H68" s="8"/>
      <c r="I68" s="19"/>
    </row>
    <row r="69" spans="1:10" s="4" customFormat="1" x14ac:dyDescent="0.3">
      <c r="A69" s="8"/>
      <c r="B69" s="8"/>
      <c r="C69" s="8"/>
      <c r="D69" s="23"/>
      <c r="E69" s="8"/>
      <c r="F69" s="23"/>
      <c r="G69" s="8"/>
      <c r="H69" s="8"/>
      <c r="I69" s="19"/>
    </row>
    <row r="70" spans="1:10" s="4" customFormat="1" x14ac:dyDescent="0.3">
      <c r="A70" s="8"/>
      <c r="B70" s="8"/>
      <c r="C70" s="8"/>
      <c r="D70" s="23"/>
      <c r="E70" s="8"/>
      <c r="F70" s="23"/>
      <c r="G70" s="8"/>
      <c r="H70" s="8"/>
      <c r="I70" s="19"/>
    </row>
    <row r="71" spans="1:10" s="4" customFormat="1" x14ac:dyDescent="0.3">
      <c r="A71" s="8"/>
      <c r="B71" s="8"/>
      <c r="C71" s="8"/>
      <c r="D71" s="23"/>
      <c r="E71" s="8"/>
      <c r="F71" s="23"/>
      <c r="G71" s="8"/>
      <c r="H71" s="8"/>
      <c r="I71" s="19"/>
    </row>
    <row r="72" spans="1:10" s="4" customFormat="1" x14ac:dyDescent="0.3">
      <c r="A72" s="8"/>
      <c r="B72" s="8"/>
      <c r="C72" s="9"/>
      <c r="D72" s="23"/>
      <c r="E72" s="8"/>
      <c r="F72" s="26"/>
      <c r="G72" s="10"/>
      <c r="H72" s="10"/>
      <c r="I72" s="14"/>
      <c r="J72" s="3"/>
    </row>
    <row r="73" spans="1:10" s="4" customFormat="1" x14ac:dyDescent="0.3">
      <c r="A73" s="8"/>
      <c r="B73" s="8"/>
      <c r="C73" s="9"/>
      <c r="D73" s="23"/>
      <c r="E73" s="8"/>
      <c r="F73" s="26"/>
      <c r="G73" s="10"/>
      <c r="H73" s="10"/>
      <c r="I73" s="14"/>
      <c r="J73" s="3"/>
    </row>
    <row r="74" spans="1:10" s="4" customFormat="1" x14ac:dyDescent="0.3">
      <c r="A74" s="8"/>
      <c r="B74" s="8"/>
      <c r="C74" s="9"/>
      <c r="D74" s="23"/>
      <c r="E74" s="8"/>
      <c r="F74" s="26"/>
      <c r="G74" s="10"/>
      <c r="H74" s="10"/>
      <c r="I74" s="14"/>
      <c r="J74" s="3"/>
    </row>
    <row r="75" spans="1:10" s="4" customFormat="1" x14ac:dyDescent="0.3">
      <c r="A75" s="8"/>
      <c r="B75" s="8"/>
      <c r="C75" s="9"/>
      <c r="D75" s="23"/>
      <c r="E75" s="8"/>
      <c r="F75" s="26"/>
      <c r="G75" s="10"/>
      <c r="H75" s="10"/>
      <c r="I75" s="14"/>
      <c r="J75" s="3"/>
    </row>
    <row r="76" spans="1:10" s="4" customFormat="1" x14ac:dyDescent="0.3">
      <c r="A76" s="8"/>
      <c r="B76" s="8"/>
      <c r="C76" s="9"/>
      <c r="D76" s="23"/>
      <c r="E76" s="8"/>
      <c r="F76" s="26"/>
      <c r="G76" s="10"/>
      <c r="H76" s="10"/>
      <c r="I76" s="14"/>
      <c r="J76" s="3"/>
    </row>
    <row r="77" spans="1:10" s="4" customFormat="1" x14ac:dyDescent="0.3">
      <c r="A77" s="8"/>
      <c r="B77" s="8"/>
      <c r="C77" s="9"/>
      <c r="D77" s="23"/>
      <c r="E77" s="8"/>
      <c r="F77" s="26"/>
      <c r="G77" s="10"/>
      <c r="H77" s="10"/>
      <c r="I77" s="14"/>
      <c r="J77" s="3"/>
    </row>
    <row r="78" spans="1:10" s="4" customFormat="1" x14ac:dyDescent="0.3">
      <c r="A78" s="8"/>
      <c r="B78" s="8"/>
      <c r="C78" s="9"/>
      <c r="D78" s="23"/>
      <c r="E78" s="8"/>
      <c r="F78" s="26"/>
      <c r="G78" s="10"/>
      <c r="H78" s="10"/>
      <c r="I78" s="14"/>
      <c r="J78" s="3"/>
    </row>
    <row r="79" spans="1:10" s="4" customFormat="1" x14ac:dyDescent="0.3">
      <c r="A79" s="8"/>
      <c r="B79" s="8"/>
      <c r="C79" s="9"/>
      <c r="D79" s="23"/>
      <c r="E79" s="8"/>
      <c r="F79" s="26"/>
      <c r="G79" s="10"/>
      <c r="H79" s="10"/>
      <c r="I79" s="14"/>
      <c r="J79" s="3"/>
    </row>
    <row r="80" spans="1:10" s="4" customFormat="1" x14ac:dyDescent="0.3">
      <c r="A80" s="8"/>
      <c r="B80" s="8"/>
      <c r="C80" s="9"/>
      <c r="D80" s="23"/>
      <c r="E80" s="8"/>
      <c r="F80" s="26"/>
      <c r="G80" s="10"/>
      <c r="H80" s="10"/>
      <c r="I80" s="14"/>
      <c r="J80" s="3"/>
    </row>
    <row r="81" spans="1:10" s="4" customFormat="1" x14ac:dyDescent="0.3">
      <c r="A81" s="8"/>
      <c r="B81" s="8"/>
      <c r="C81" s="9"/>
      <c r="D81" s="23"/>
      <c r="E81" s="8"/>
      <c r="F81" s="26"/>
      <c r="G81" s="10"/>
      <c r="H81" s="10"/>
      <c r="I81" s="14"/>
      <c r="J81" s="3"/>
    </row>
    <row r="82" spans="1:10" s="4" customFormat="1" x14ac:dyDescent="0.3">
      <c r="A82" s="8"/>
      <c r="B82" s="8"/>
      <c r="C82" s="9"/>
      <c r="D82" s="23"/>
      <c r="E82" s="8"/>
      <c r="F82" s="26"/>
      <c r="G82" s="10"/>
      <c r="H82" s="10"/>
      <c r="I82" s="14"/>
      <c r="J82" s="3"/>
    </row>
    <row r="83" spans="1:10" s="4" customFormat="1" x14ac:dyDescent="0.3">
      <c r="A83" s="8"/>
      <c r="B83" s="8"/>
      <c r="C83" s="9"/>
      <c r="D83" s="23"/>
      <c r="E83" s="8"/>
      <c r="F83" s="26"/>
      <c r="G83" s="10"/>
      <c r="H83" s="10"/>
      <c r="I83" s="14"/>
      <c r="J83" s="3"/>
    </row>
    <row r="84" spans="1:10" s="4" customFormat="1" x14ac:dyDescent="0.3">
      <c r="A84" s="8"/>
      <c r="B84" s="8"/>
      <c r="C84" s="9"/>
      <c r="D84" s="23"/>
      <c r="E84" s="8"/>
      <c r="F84" s="26"/>
      <c r="G84" s="10"/>
      <c r="H84" s="10"/>
      <c r="I84" s="14"/>
      <c r="J84" s="3"/>
    </row>
    <row r="85" spans="1:10" s="4" customFormat="1" x14ac:dyDescent="0.3">
      <c r="A85" s="8"/>
      <c r="B85" s="8"/>
      <c r="C85" s="9"/>
      <c r="D85" s="23"/>
      <c r="E85" s="8"/>
      <c r="F85" s="26"/>
      <c r="G85" s="10"/>
      <c r="H85" s="10"/>
      <c r="I85" s="14"/>
      <c r="J85" s="3"/>
    </row>
    <row r="86" spans="1:10" s="4" customFormat="1" x14ac:dyDescent="0.3">
      <c r="A86" s="8"/>
      <c r="B86" s="8"/>
      <c r="C86" s="9"/>
      <c r="D86" s="23"/>
      <c r="E86" s="8"/>
      <c r="F86" s="26"/>
      <c r="G86" s="10"/>
      <c r="H86" s="10"/>
      <c r="I86" s="14"/>
      <c r="J86" s="3"/>
    </row>
    <row r="87" spans="1:10" s="4" customFormat="1" x14ac:dyDescent="0.3">
      <c r="A87" s="8"/>
      <c r="B87" s="8"/>
      <c r="C87" s="9"/>
      <c r="D87" s="23"/>
      <c r="E87" s="8"/>
      <c r="F87" s="26"/>
      <c r="G87" s="10"/>
      <c r="H87" s="10"/>
      <c r="I87" s="14"/>
      <c r="J87" s="3"/>
    </row>
    <row r="88" spans="1:10" s="4" customFormat="1" x14ac:dyDescent="0.3">
      <c r="A88" s="8"/>
      <c r="B88" s="8"/>
      <c r="C88" s="9"/>
      <c r="D88" s="23"/>
      <c r="E88" s="8"/>
      <c r="F88" s="26"/>
      <c r="G88" s="10"/>
      <c r="H88" s="10"/>
      <c r="I88" s="14"/>
      <c r="J88" s="3"/>
    </row>
    <row r="89" spans="1:10" s="4" customFormat="1" x14ac:dyDescent="0.3">
      <c r="A89" s="8"/>
      <c r="B89" s="8"/>
      <c r="C89" s="9"/>
      <c r="D89" s="23"/>
      <c r="E89" s="8"/>
      <c r="F89" s="26"/>
      <c r="G89" s="10"/>
      <c r="H89" s="10"/>
      <c r="I89" s="14"/>
      <c r="J89" s="3"/>
    </row>
    <row r="90" spans="1:10" s="4" customFormat="1" x14ac:dyDescent="0.3">
      <c r="A90" s="8"/>
      <c r="B90" s="8"/>
      <c r="C90" s="9"/>
      <c r="D90" s="23"/>
      <c r="E90" s="8"/>
      <c r="F90" s="26"/>
      <c r="G90" s="10"/>
      <c r="H90" s="10"/>
      <c r="I90" s="14"/>
      <c r="J90" s="3"/>
    </row>
    <row r="91" spans="1:10" s="4" customFormat="1" x14ac:dyDescent="0.3">
      <c r="A91" s="8"/>
      <c r="B91" s="8"/>
      <c r="C91" s="9"/>
      <c r="D91" s="23"/>
      <c r="E91" s="8"/>
      <c r="F91" s="26"/>
      <c r="G91" s="10"/>
      <c r="H91" s="10"/>
      <c r="I91" s="14"/>
      <c r="J91" s="3"/>
    </row>
    <row r="92" spans="1:10" s="4" customFormat="1" x14ac:dyDescent="0.3">
      <c r="A92" s="8"/>
      <c r="B92" s="8"/>
      <c r="C92" s="9"/>
      <c r="D92" s="23"/>
      <c r="E92" s="8"/>
      <c r="F92" s="26"/>
      <c r="G92" s="10"/>
      <c r="H92" s="10"/>
      <c r="I92" s="14"/>
      <c r="J92" s="3"/>
    </row>
    <row r="93" spans="1:10" s="4" customFormat="1" x14ac:dyDescent="0.3">
      <c r="A93" s="8"/>
      <c r="B93" s="8"/>
      <c r="C93" s="9"/>
      <c r="D93" s="23"/>
      <c r="E93" s="8"/>
      <c r="F93" s="26"/>
      <c r="G93" s="10"/>
      <c r="H93" s="10"/>
      <c r="I93" s="14"/>
      <c r="J93" s="3"/>
    </row>
    <row r="94" spans="1:10" s="4" customFormat="1" x14ac:dyDescent="0.3">
      <c r="A94" s="8"/>
      <c r="B94" s="8"/>
      <c r="C94" s="9"/>
      <c r="D94" s="23"/>
      <c r="E94" s="8"/>
      <c r="F94" s="26"/>
      <c r="G94" s="10"/>
      <c r="H94" s="10"/>
      <c r="I94" s="14"/>
      <c r="J94" s="3"/>
    </row>
    <row r="95" spans="1:10" s="4" customFormat="1" x14ac:dyDescent="0.3">
      <c r="A95" s="8"/>
      <c r="B95" s="8"/>
      <c r="C95" s="9"/>
      <c r="D95" s="23"/>
      <c r="E95" s="8"/>
      <c r="F95" s="26"/>
      <c r="G95" s="10"/>
      <c r="H95" s="10"/>
      <c r="I95" s="14"/>
      <c r="J95" s="3"/>
    </row>
    <row r="96" spans="1:10" s="4" customFormat="1" x14ac:dyDescent="0.3">
      <c r="A96" s="8"/>
      <c r="B96" s="8"/>
      <c r="C96" s="9"/>
      <c r="D96" s="23"/>
      <c r="E96" s="8"/>
      <c r="F96" s="26"/>
      <c r="G96" s="10"/>
      <c r="H96" s="10"/>
      <c r="I96" s="14"/>
      <c r="J96" s="3"/>
    </row>
    <row r="97" spans="1:10" s="4" customFormat="1" x14ac:dyDescent="0.3">
      <c r="A97" s="8"/>
      <c r="B97" s="8"/>
      <c r="C97" s="9"/>
      <c r="D97" s="23"/>
      <c r="E97" s="8"/>
      <c r="F97" s="26"/>
      <c r="G97" s="10"/>
      <c r="H97" s="10"/>
      <c r="I97" s="14"/>
      <c r="J97" s="3"/>
    </row>
    <row r="98" spans="1:10" s="4" customFormat="1" x14ac:dyDescent="0.3">
      <c r="A98" s="8"/>
      <c r="B98" s="8"/>
      <c r="C98" s="9"/>
      <c r="D98" s="23"/>
      <c r="E98" s="8"/>
      <c r="F98" s="26"/>
      <c r="G98" s="10"/>
      <c r="H98" s="10"/>
      <c r="I98" s="14"/>
      <c r="J98" s="3"/>
    </row>
    <row r="99" spans="1:10" s="4" customFormat="1" x14ac:dyDescent="0.3">
      <c r="A99" s="8"/>
      <c r="B99" s="8"/>
      <c r="C99" s="9"/>
      <c r="D99" s="23"/>
      <c r="E99" s="8"/>
      <c r="F99" s="26"/>
      <c r="G99" s="10"/>
      <c r="H99" s="10"/>
      <c r="I99" s="14"/>
      <c r="J99" s="3"/>
    </row>
    <row r="100" spans="1:10" s="4" customFormat="1" x14ac:dyDescent="0.3">
      <c r="A100" s="8"/>
      <c r="B100" s="8"/>
      <c r="C100" s="9"/>
      <c r="D100" s="23"/>
      <c r="E100" s="8"/>
      <c r="F100" s="26"/>
      <c r="G100" s="10"/>
      <c r="H100" s="10"/>
      <c r="I100" s="14"/>
      <c r="J100" s="3"/>
    </row>
  </sheetData>
  <sheetProtection sheet="1" objects="1" scenarios="1"/>
  <sortState ref="C22:C28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5" priority="1" operator="equal">
      <formula>"Not Enough Data"</formula>
    </cfRule>
    <cfRule type="cellIs" dxfId="4" priority="2" operator="equal">
      <formula>"Excellent"</formula>
    </cfRule>
    <cfRule type="cellIs" dxfId="3" priority="3" operator="equal">
      <formula>"Good"</formula>
    </cfRule>
    <cfRule type="cellIs" dxfId="2" priority="4" operator="equal">
      <formula>"Sufficient"</formula>
    </cfRule>
    <cfRule type="cellIs" dxfId="1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86"/>
  <sheetViews>
    <sheetView workbookViewId="0">
      <pane ySplit="1" topLeftCell="A242" activePane="bottomLeft" state="frozen"/>
      <selection pane="bottomLeft" activeCell="A216" sqref="A216:XFD216"/>
    </sheetView>
  </sheetViews>
  <sheetFormatPr defaultRowHeight="14.4" x14ac:dyDescent="0.3"/>
  <cols>
    <col min="1" max="1" width="29.33203125" style="49" bestFit="1" customWidth="1"/>
    <col min="2" max="2" width="7.88671875" style="47" customWidth="1"/>
  </cols>
  <sheetData>
    <row r="1" spans="1:2" s="1" customFormat="1" x14ac:dyDescent="0.3">
      <c r="A1" s="2" t="s">
        <v>0</v>
      </c>
      <c r="B1" s="44" t="s">
        <v>1</v>
      </c>
    </row>
    <row r="2" spans="1:2" s="1" customFormat="1" x14ac:dyDescent="0.3">
      <c r="A2" s="43">
        <v>44110</v>
      </c>
      <c r="B2" s="42">
        <f>200*3</f>
        <v>600</v>
      </c>
    </row>
    <row r="3" spans="1:2" s="1" customFormat="1" x14ac:dyDescent="0.3">
      <c r="A3" s="43">
        <v>44124</v>
      </c>
      <c r="B3" s="42">
        <f>2/3</f>
        <v>0.66666666666666663</v>
      </c>
    </row>
    <row r="4" spans="1:2" s="1" customFormat="1" x14ac:dyDescent="0.3">
      <c r="A4" s="43">
        <v>44138</v>
      </c>
      <c r="B4" s="42">
        <f>2/3</f>
        <v>0.66666666666666663</v>
      </c>
    </row>
    <row r="5" spans="1:2" s="1" customFormat="1" x14ac:dyDescent="0.3">
      <c r="A5" s="43">
        <v>44180</v>
      </c>
      <c r="B5" s="42">
        <v>2</v>
      </c>
    </row>
    <row r="6" spans="1:2" s="1" customFormat="1" x14ac:dyDescent="0.3">
      <c r="A6" s="43">
        <v>44208</v>
      </c>
      <c r="B6" s="42">
        <v>90</v>
      </c>
    </row>
    <row r="7" spans="1:2" s="1" customFormat="1" x14ac:dyDescent="0.3">
      <c r="A7" s="43">
        <v>44222</v>
      </c>
      <c r="B7" s="42">
        <f>2/3</f>
        <v>0.66666666666666663</v>
      </c>
    </row>
    <row r="8" spans="1:2" s="1" customFormat="1" x14ac:dyDescent="0.3">
      <c r="A8" s="43">
        <v>44236</v>
      </c>
      <c r="B8" s="42">
        <v>10</v>
      </c>
    </row>
    <row r="9" spans="1:2" s="1" customFormat="1" x14ac:dyDescent="0.3">
      <c r="A9" s="43">
        <v>44236</v>
      </c>
      <c r="B9" s="42">
        <v>9</v>
      </c>
    </row>
    <row r="10" spans="1:2" s="1" customFormat="1" x14ac:dyDescent="0.3">
      <c r="A10" s="43">
        <v>44250</v>
      </c>
      <c r="B10" s="42">
        <f>2/3</f>
        <v>0.66666666666666663</v>
      </c>
    </row>
    <row r="11" spans="1:2" s="1" customFormat="1" x14ac:dyDescent="0.3">
      <c r="A11" s="43">
        <v>44264</v>
      </c>
      <c r="B11" s="42">
        <v>12</v>
      </c>
    </row>
    <row r="12" spans="1:2" s="1" customFormat="1" x14ac:dyDescent="0.3">
      <c r="A12" s="43">
        <v>44293</v>
      </c>
      <c r="B12" s="42">
        <f>2/3</f>
        <v>0.66666666666666663</v>
      </c>
    </row>
    <row r="13" spans="1:2" s="1" customFormat="1" x14ac:dyDescent="0.3">
      <c r="A13" s="43">
        <v>44369</v>
      </c>
      <c r="B13" s="42">
        <f>200*3</f>
        <v>600</v>
      </c>
    </row>
    <row r="14" spans="1:2" s="1" customFormat="1" x14ac:dyDescent="0.3">
      <c r="A14" s="43">
        <v>44383</v>
      </c>
      <c r="B14" s="42">
        <f>2/3</f>
        <v>0.66666666666666663</v>
      </c>
    </row>
    <row r="15" spans="1:2" s="1" customFormat="1" x14ac:dyDescent="0.3">
      <c r="A15" s="43">
        <v>44405</v>
      </c>
      <c r="B15" s="42">
        <v>102</v>
      </c>
    </row>
    <row r="16" spans="1:2" s="1" customFormat="1" x14ac:dyDescent="0.3">
      <c r="A16" s="43">
        <v>44474</v>
      </c>
      <c r="B16" s="42">
        <v>600</v>
      </c>
    </row>
    <row r="17" spans="1:2" s="1" customFormat="1" x14ac:dyDescent="0.3">
      <c r="A17" s="43">
        <v>44516</v>
      </c>
      <c r="B17" s="42">
        <v>9</v>
      </c>
    </row>
    <row r="18" spans="1:2" s="1" customFormat="1" x14ac:dyDescent="0.3">
      <c r="A18" s="43">
        <v>44572</v>
      </c>
      <c r="B18" s="42">
        <v>50</v>
      </c>
    </row>
    <row r="19" spans="1:2" s="1" customFormat="1" x14ac:dyDescent="0.3">
      <c r="A19" s="43">
        <v>44580</v>
      </c>
      <c r="B19" s="42">
        <v>1</v>
      </c>
    </row>
    <row r="20" spans="1:2" s="1" customFormat="1" x14ac:dyDescent="0.3">
      <c r="A20" s="43">
        <v>44586</v>
      </c>
      <c r="B20" s="42">
        <v>20</v>
      </c>
    </row>
    <row r="21" spans="1:2" s="1" customFormat="1" x14ac:dyDescent="0.3">
      <c r="A21" s="43">
        <v>44594</v>
      </c>
      <c r="B21" s="42">
        <v>2</v>
      </c>
    </row>
    <row r="22" spans="1:2" s="1" customFormat="1" x14ac:dyDescent="0.3">
      <c r="A22" s="43">
        <v>44600</v>
      </c>
      <c r="B22" s="42">
        <f>10/3</f>
        <v>3.3333333333333335</v>
      </c>
    </row>
    <row r="23" spans="1:2" s="1" customFormat="1" x14ac:dyDescent="0.3">
      <c r="A23" s="43">
        <v>44623</v>
      </c>
      <c r="B23" s="42">
        <v>28</v>
      </c>
    </row>
    <row r="24" spans="1:2" x14ac:dyDescent="0.3">
      <c r="A24" s="43">
        <v>44628</v>
      </c>
      <c r="B24" s="48">
        <f>10/3</f>
        <v>3.3333333333333335</v>
      </c>
    </row>
    <row r="25" spans="1:2" x14ac:dyDescent="0.3">
      <c r="A25" s="43">
        <v>44635</v>
      </c>
      <c r="B25" s="48">
        <v>2</v>
      </c>
    </row>
    <row r="26" spans="1:2" x14ac:dyDescent="0.3">
      <c r="A26" s="43">
        <v>44645</v>
      </c>
      <c r="B26" s="48">
        <v>1</v>
      </c>
    </row>
    <row r="27" spans="1:2" x14ac:dyDescent="0.3">
      <c r="A27" s="43">
        <v>44663</v>
      </c>
      <c r="B27" s="48">
        <v>15531</v>
      </c>
    </row>
    <row r="28" spans="1:2" x14ac:dyDescent="0.3">
      <c r="A28" s="43">
        <v>44712</v>
      </c>
      <c r="B28" s="48">
        <v>20</v>
      </c>
    </row>
    <row r="29" spans="1:2" x14ac:dyDescent="0.3">
      <c r="A29" s="43">
        <v>44726</v>
      </c>
      <c r="B29" s="48">
        <v>384</v>
      </c>
    </row>
    <row r="30" spans="1:2" x14ac:dyDescent="0.3">
      <c r="A30" s="43">
        <v>44740</v>
      </c>
      <c r="B30" s="48">
        <v>132</v>
      </c>
    </row>
    <row r="31" spans="1:2" x14ac:dyDescent="0.3">
      <c r="A31" s="43">
        <v>44810</v>
      </c>
      <c r="B31" s="48">
        <v>170</v>
      </c>
    </row>
    <row r="32" spans="1:2" x14ac:dyDescent="0.3">
      <c r="A32" s="43">
        <v>44824</v>
      </c>
      <c r="B32" s="48">
        <v>10</v>
      </c>
    </row>
    <row r="33" spans="1:2" x14ac:dyDescent="0.3">
      <c r="A33" s="43">
        <v>44895</v>
      </c>
      <c r="B33" s="48">
        <v>20</v>
      </c>
    </row>
    <row r="34" spans="1:2" x14ac:dyDescent="0.3">
      <c r="A34" s="43">
        <v>44910</v>
      </c>
      <c r="B34" s="48">
        <v>26</v>
      </c>
    </row>
    <row r="35" spans="1:2" x14ac:dyDescent="0.3">
      <c r="A35" s="43">
        <v>44916</v>
      </c>
      <c r="B35" s="48">
        <v>3</v>
      </c>
    </row>
    <row r="36" spans="1:2" x14ac:dyDescent="0.3">
      <c r="A36" s="43">
        <v>44931</v>
      </c>
      <c r="B36" s="48">
        <v>18</v>
      </c>
    </row>
    <row r="37" spans="1:2" x14ac:dyDescent="0.3">
      <c r="A37" s="43">
        <v>44936</v>
      </c>
      <c r="B37" s="48">
        <v>81</v>
      </c>
    </row>
    <row r="38" spans="1:2" x14ac:dyDescent="0.3">
      <c r="A38" s="43">
        <v>44937</v>
      </c>
      <c r="B38" s="48">
        <v>390</v>
      </c>
    </row>
    <row r="39" spans="1:2" x14ac:dyDescent="0.3">
      <c r="A39" s="43">
        <v>44943</v>
      </c>
      <c r="B39" s="48">
        <v>2</v>
      </c>
    </row>
    <row r="40" spans="1:2" x14ac:dyDescent="0.3">
      <c r="A40" s="43">
        <v>44958</v>
      </c>
      <c r="B40" s="48">
        <v>3</v>
      </c>
    </row>
    <row r="41" spans="1:2" x14ac:dyDescent="0.3">
      <c r="A41" s="43">
        <v>44973</v>
      </c>
      <c r="B41" s="48">
        <v>59</v>
      </c>
    </row>
    <row r="42" spans="1:2" x14ac:dyDescent="0.3">
      <c r="A42" s="43">
        <v>45008</v>
      </c>
      <c r="B42" s="48">
        <v>53</v>
      </c>
    </row>
    <row r="43" spans="1:2" x14ac:dyDescent="0.3">
      <c r="A43" s="43">
        <v>45020</v>
      </c>
      <c r="B43" s="48">
        <v>41</v>
      </c>
    </row>
    <row r="44" spans="1:2" x14ac:dyDescent="0.3">
      <c r="A44" s="43">
        <v>45022</v>
      </c>
      <c r="B44" s="48">
        <v>41</v>
      </c>
    </row>
    <row r="45" spans="1:2" x14ac:dyDescent="0.3">
      <c r="A45" s="43">
        <v>45036</v>
      </c>
      <c r="B45" s="48">
        <v>613</v>
      </c>
    </row>
    <row r="46" spans="1:2" x14ac:dyDescent="0.3">
      <c r="A46" s="43">
        <v>45062</v>
      </c>
      <c r="B46" s="48">
        <v>160</v>
      </c>
    </row>
    <row r="47" spans="1:2" x14ac:dyDescent="0.3">
      <c r="A47" s="43">
        <v>45090</v>
      </c>
      <c r="B47" s="48">
        <v>687</v>
      </c>
    </row>
    <row r="48" spans="1:2" x14ac:dyDescent="0.3">
      <c r="A48" s="43">
        <v>45104</v>
      </c>
      <c r="B48" s="48">
        <v>106</v>
      </c>
    </row>
    <row r="49" spans="1:2" x14ac:dyDescent="0.3">
      <c r="A49" s="43">
        <v>45118</v>
      </c>
      <c r="B49" s="48">
        <v>140</v>
      </c>
    </row>
    <row r="50" spans="1:2" x14ac:dyDescent="0.3">
      <c r="A50" s="43">
        <v>45153</v>
      </c>
      <c r="B50" s="48">
        <v>317</v>
      </c>
    </row>
    <row r="51" spans="1:2" x14ac:dyDescent="0.3">
      <c r="A51" s="43">
        <v>45167</v>
      </c>
      <c r="B51" s="48">
        <v>770</v>
      </c>
    </row>
    <row r="52" spans="1:2" x14ac:dyDescent="0.3">
      <c r="A52" s="43">
        <v>45181</v>
      </c>
      <c r="B52" s="48">
        <v>8</v>
      </c>
    </row>
    <row r="53" spans="1:2" x14ac:dyDescent="0.3">
      <c r="A53" s="43">
        <v>45195</v>
      </c>
      <c r="B53" s="48">
        <v>77</v>
      </c>
    </row>
    <row r="54" spans="1:2" x14ac:dyDescent="0.3">
      <c r="A54" s="43">
        <v>45218</v>
      </c>
      <c r="B54" s="48">
        <v>921</v>
      </c>
    </row>
    <row r="55" spans="1:2" x14ac:dyDescent="0.3">
      <c r="A55" s="43">
        <v>45231</v>
      </c>
      <c r="B55" s="48">
        <v>79</v>
      </c>
    </row>
    <row r="56" spans="1:2" x14ac:dyDescent="0.3">
      <c r="A56" s="43">
        <v>45245</v>
      </c>
      <c r="B56" s="48">
        <v>75</v>
      </c>
    </row>
    <row r="57" spans="1:2" x14ac:dyDescent="0.3">
      <c r="A57" s="43">
        <v>45259</v>
      </c>
      <c r="B57" s="48">
        <v>579</v>
      </c>
    </row>
    <row r="58" spans="1:2" x14ac:dyDescent="0.3">
      <c r="A58" s="43">
        <v>45295</v>
      </c>
      <c r="B58" s="48">
        <v>88</v>
      </c>
    </row>
    <row r="59" spans="1:2" x14ac:dyDescent="0.3">
      <c r="A59" s="43">
        <v>45301</v>
      </c>
      <c r="B59" s="48">
        <v>91</v>
      </c>
    </row>
    <row r="60" spans="1:2" x14ac:dyDescent="0.3">
      <c r="A60" s="43">
        <v>45315</v>
      </c>
      <c r="B60" s="48">
        <v>12</v>
      </c>
    </row>
    <row r="61" spans="1:2" x14ac:dyDescent="0.3">
      <c r="A61" s="43">
        <v>45322</v>
      </c>
      <c r="B61" s="48">
        <v>12</v>
      </c>
    </row>
    <row r="62" spans="1:2" x14ac:dyDescent="0.3">
      <c r="A62" s="43">
        <v>45335</v>
      </c>
      <c r="B62" s="48">
        <v>33</v>
      </c>
    </row>
    <row r="63" spans="1:2" x14ac:dyDescent="0.3">
      <c r="A63" s="43">
        <v>45342</v>
      </c>
      <c r="B63" s="48">
        <v>1</v>
      </c>
    </row>
    <row r="64" spans="1:2" x14ac:dyDescent="0.3">
      <c r="A64" s="43">
        <v>45343</v>
      </c>
      <c r="B64" s="48">
        <v>31</v>
      </c>
    </row>
    <row r="65" spans="1:2" x14ac:dyDescent="0.3">
      <c r="A65" s="43">
        <v>45349</v>
      </c>
      <c r="B65" s="48">
        <v>7</v>
      </c>
    </row>
    <row r="66" spans="1:2" x14ac:dyDescent="0.3">
      <c r="A66" s="43">
        <v>45356</v>
      </c>
      <c r="B66" s="48">
        <v>4</v>
      </c>
    </row>
    <row r="67" spans="1:2" x14ac:dyDescent="0.3">
      <c r="A67" s="43">
        <v>45364</v>
      </c>
      <c r="B67" s="48">
        <v>11</v>
      </c>
    </row>
    <row r="68" spans="1:2" x14ac:dyDescent="0.3">
      <c r="A68" s="43">
        <v>45369</v>
      </c>
      <c r="B68" s="48">
        <f>1/3</f>
        <v>0.33333333333333331</v>
      </c>
    </row>
    <row r="69" spans="1:2" x14ac:dyDescent="0.3">
      <c r="A69" s="43">
        <v>45370</v>
      </c>
      <c r="B69" s="48">
        <v>1</v>
      </c>
    </row>
    <row r="70" spans="1:2" x14ac:dyDescent="0.3">
      <c r="A70" s="43">
        <v>45378</v>
      </c>
      <c r="B70" s="48">
        <v>54</v>
      </c>
    </row>
    <row r="71" spans="1:2" x14ac:dyDescent="0.3">
      <c r="A71" s="43">
        <v>45383</v>
      </c>
      <c r="B71" s="48">
        <v>88</v>
      </c>
    </row>
    <row r="72" spans="1:2" x14ac:dyDescent="0.3">
      <c r="A72" s="43">
        <v>45384</v>
      </c>
      <c r="B72" s="48">
        <v>88</v>
      </c>
    </row>
    <row r="73" spans="1:2" x14ac:dyDescent="0.3">
      <c r="A73" s="43">
        <v>45385</v>
      </c>
      <c r="B73" s="48">
        <v>88</v>
      </c>
    </row>
    <row r="74" spans="1:2" x14ac:dyDescent="0.3">
      <c r="A74" s="43">
        <v>45386</v>
      </c>
      <c r="B74" s="48">
        <v>88</v>
      </c>
    </row>
    <row r="75" spans="1:2" x14ac:dyDescent="0.3">
      <c r="A75" s="43">
        <v>45387</v>
      </c>
      <c r="B75" s="48">
        <v>88</v>
      </c>
    </row>
    <row r="76" spans="1:2" x14ac:dyDescent="0.3">
      <c r="A76" s="43">
        <v>45388</v>
      </c>
      <c r="B76" s="48">
        <v>88</v>
      </c>
    </row>
    <row r="77" spans="1:2" x14ac:dyDescent="0.3">
      <c r="A77" s="43">
        <v>45389</v>
      </c>
      <c r="B77" s="48">
        <v>88</v>
      </c>
    </row>
    <row r="78" spans="1:2" x14ac:dyDescent="0.3">
      <c r="A78" s="43">
        <v>45390</v>
      </c>
      <c r="B78" s="48">
        <v>88</v>
      </c>
    </row>
    <row r="79" spans="1:2" x14ac:dyDescent="0.3">
      <c r="A79" s="43">
        <v>45391</v>
      </c>
      <c r="B79" s="48">
        <v>88</v>
      </c>
    </row>
    <row r="80" spans="1:2" x14ac:dyDescent="0.3">
      <c r="A80" s="43">
        <v>45392</v>
      </c>
      <c r="B80" s="48">
        <v>88</v>
      </c>
    </row>
    <row r="81" spans="1:2" x14ac:dyDescent="0.3">
      <c r="A81" s="43">
        <v>45393</v>
      </c>
      <c r="B81" s="48">
        <v>88</v>
      </c>
    </row>
    <row r="82" spans="1:2" x14ac:dyDescent="0.3">
      <c r="A82" s="43">
        <v>45394</v>
      </c>
      <c r="B82" s="48">
        <v>88</v>
      </c>
    </row>
    <row r="83" spans="1:2" x14ac:dyDescent="0.3">
      <c r="A83" s="43">
        <v>45395</v>
      </c>
      <c r="B83" s="48">
        <v>88</v>
      </c>
    </row>
    <row r="84" spans="1:2" x14ac:dyDescent="0.3">
      <c r="A84" s="43">
        <v>45396</v>
      </c>
      <c r="B84" s="48">
        <v>88</v>
      </c>
    </row>
    <row r="85" spans="1:2" x14ac:dyDescent="0.3">
      <c r="A85" s="43">
        <v>45397</v>
      </c>
      <c r="B85" s="48">
        <v>88</v>
      </c>
    </row>
    <row r="86" spans="1:2" x14ac:dyDescent="0.3">
      <c r="A86" s="43">
        <v>45398</v>
      </c>
      <c r="B86" s="48">
        <v>88</v>
      </c>
    </row>
    <row r="87" spans="1:2" x14ac:dyDescent="0.3">
      <c r="A87" s="43">
        <v>45399</v>
      </c>
      <c r="B87" s="48">
        <v>88</v>
      </c>
    </row>
    <row r="88" spans="1:2" x14ac:dyDescent="0.3">
      <c r="A88" s="43">
        <v>45400</v>
      </c>
      <c r="B88" s="48">
        <v>88</v>
      </c>
    </row>
    <row r="89" spans="1:2" x14ac:dyDescent="0.3">
      <c r="A89" s="43">
        <v>45401</v>
      </c>
      <c r="B89" s="48">
        <v>88</v>
      </c>
    </row>
    <row r="90" spans="1:2" x14ac:dyDescent="0.3">
      <c r="A90" s="43">
        <v>45402</v>
      </c>
      <c r="B90" s="48">
        <v>88</v>
      </c>
    </row>
    <row r="91" spans="1:2" x14ac:dyDescent="0.3">
      <c r="A91" s="43">
        <v>45403</v>
      </c>
      <c r="B91" s="48">
        <v>88</v>
      </c>
    </row>
    <row r="92" spans="1:2" x14ac:dyDescent="0.3">
      <c r="A92" s="43">
        <v>45404</v>
      </c>
      <c r="B92" s="48">
        <v>88</v>
      </c>
    </row>
    <row r="93" spans="1:2" x14ac:dyDescent="0.3">
      <c r="A93" s="43">
        <v>45405</v>
      </c>
      <c r="B93" s="48">
        <v>88</v>
      </c>
    </row>
    <row r="94" spans="1:2" x14ac:dyDescent="0.3">
      <c r="A94" s="43">
        <v>45406</v>
      </c>
      <c r="B94" s="48">
        <v>88</v>
      </c>
    </row>
    <row r="95" spans="1:2" x14ac:dyDescent="0.3">
      <c r="A95" s="43">
        <v>45407</v>
      </c>
      <c r="B95" s="48">
        <v>88</v>
      </c>
    </row>
    <row r="96" spans="1:2" x14ac:dyDescent="0.3">
      <c r="A96" s="43">
        <v>45408</v>
      </c>
      <c r="B96" s="48">
        <v>88</v>
      </c>
    </row>
    <row r="97" spans="1:2" x14ac:dyDescent="0.3">
      <c r="A97" s="43">
        <v>45409</v>
      </c>
      <c r="B97" s="48">
        <v>88</v>
      </c>
    </row>
    <row r="98" spans="1:2" x14ac:dyDescent="0.3">
      <c r="A98" s="43">
        <v>45410</v>
      </c>
      <c r="B98" s="48">
        <v>88</v>
      </c>
    </row>
    <row r="99" spans="1:2" x14ac:dyDescent="0.3">
      <c r="A99" s="43">
        <v>45411</v>
      </c>
      <c r="B99" s="48">
        <v>88</v>
      </c>
    </row>
    <row r="100" spans="1:2" x14ac:dyDescent="0.3">
      <c r="A100" s="43">
        <v>45412</v>
      </c>
      <c r="B100" s="48">
        <v>88</v>
      </c>
    </row>
    <row r="101" spans="1:2" x14ac:dyDescent="0.3">
      <c r="A101" s="43">
        <v>45413</v>
      </c>
      <c r="B101" s="48">
        <v>88</v>
      </c>
    </row>
    <row r="102" spans="1:2" x14ac:dyDescent="0.3">
      <c r="A102" s="43">
        <v>45414</v>
      </c>
      <c r="B102" s="48">
        <v>88</v>
      </c>
    </row>
    <row r="103" spans="1:2" x14ac:dyDescent="0.3">
      <c r="A103" s="43">
        <v>45415</v>
      </c>
      <c r="B103" s="48">
        <v>88</v>
      </c>
    </row>
    <row r="104" spans="1:2" x14ac:dyDescent="0.3">
      <c r="A104" s="43">
        <v>45416</v>
      </c>
      <c r="B104" s="48">
        <v>88</v>
      </c>
    </row>
    <row r="105" spans="1:2" x14ac:dyDescent="0.3">
      <c r="A105" s="43">
        <v>45417</v>
      </c>
      <c r="B105" s="48">
        <v>88</v>
      </c>
    </row>
    <row r="106" spans="1:2" x14ac:dyDescent="0.3">
      <c r="A106" s="43">
        <v>45418</v>
      </c>
      <c r="B106" s="48">
        <v>88</v>
      </c>
    </row>
    <row r="107" spans="1:2" x14ac:dyDescent="0.3">
      <c r="A107" s="43">
        <v>45419</v>
      </c>
      <c r="B107" s="48">
        <v>88</v>
      </c>
    </row>
    <row r="108" spans="1:2" x14ac:dyDescent="0.3">
      <c r="A108" s="43">
        <v>45420</v>
      </c>
      <c r="B108" s="48">
        <v>88</v>
      </c>
    </row>
    <row r="109" spans="1:2" x14ac:dyDescent="0.3">
      <c r="A109" s="43">
        <v>45421</v>
      </c>
      <c r="B109" s="48">
        <v>88</v>
      </c>
    </row>
    <row r="110" spans="1:2" x14ac:dyDescent="0.3">
      <c r="A110" s="43">
        <v>45422</v>
      </c>
      <c r="B110" s="48">
        <v>88</v>
      </c>
    </row>
    <row r="111" spans="1:2" x14ac:dyDescent="0.3">
      <c r="A111" s="43">
        <v>45423</v>
      </c>
      <c r="B111" s="48">
        <v>88</v>
      </c>
    </row>
    <row r="112" spans="1:2" x14ac:dyDescent="0.3">
      <c r="A112" s="43">
        <v>45424</v>
      </c>
      <c r="B112" s="48">
        <v>88</v>
      </c>
    </row>
    <row r="113" spans="1:2" x14ac:dyDescent="0.3">
      <c r="A113" s="43">
        <v>45425</v>
      </c>
      <c r="B113" s="48">
        <v>88</v>
      </c>
    </row>
    <row r="114" spans="1:2" x14ac:dyDescent="0.3">
      <c r="A114" s="43">
        <v>45426</v>
      </c>
      <c r="B114" s="48">
        <v>88</v>
      </c>
    </row>
    <row r="115" spans="1:2" x14ac:dyDescent="0.3">
      <c r="A115" s="43">
        <v>45427</v>
      </c>
      <c r="B115" s="48">
        <v>88</v>
      </c>
    </row>
    <row r="116" spans="1:2" x14ac:dyDescent="0.3">
      <c r="A116" s="43">
        <v>45428</v>
      </c>
      <c r="B116" s="48">
        <v>88</v>
      </c>
    </row>
    <row r="117" spans="1:2" x14ac:dyDescent="0.3">
      <c r="A117" s="43">
        <v>45429</v>
      </c>
      <c r="B117" s="48">
        <v>88</v>
      </c>
    </row>
    <row r="118" spans="1:2" x14ac:dyDescent="0.3">
      <c r="A118" s="43">
        <v>45430</v>
      </c>
      <c r="B118" s="48">
        <v>88</v>
      </c>
    </row>
    <row r="119" spans="1:2" x14ac:dyDescent="0.3">
      <c r="A119" s="43">
        <v>45431</v>
      </c>
      <c r="B119" s="48">
        <v>88</v>
      </c>
    </row>
    <row r="120" spans="1:2" x14ac:dyDescent="0.3">
      <c r="A120" s="43">
        <v>45432</v>
      </c>
      <c r="B120" s="48">
        <v>88</v>
      </c>
    </row>
    <row r="121" spans="1:2" x14ac:dyDescent="0.3">
      <c r="A121" s="43">
        <v>45433</v>
      </c>
      <c r="B121" s="48">
        <v>88</v>
      </c>
    </row>
    <row r="122" spans="1:2" x14ac:dyDescent="0.3">
      <c r="A122" s="43">
        <v>45434</v>
      </c>
      <c r="B122" s="48">
        <v>88</v>
      </c>
    </row>
    <row r="123" spans="1:2" x14ac:dyDescent="0.3">
      <c r="A123" s="43">
        <v>45435</v>
      </c>
      <c r="B123" s="48">
        <v>88</v>
      </c>
    </row>
    <row r="124" spans="1:2" x14ac:dyDescent="0.3">
      <c r="A124" s="43">
        <v>45436</v>
      </c>
      <c r="B124" s="48">
        <v>88</v>
      </c>
    </row>
    <row r="125" spans="1:2" x14ac:dyDescent="0.3">
      <c r="A125" s="43">
        <v>45437</v>
      </c>
      <c r="B125" s="48">
        <v>88</v>
      </c>
    </row>
    <row r="126" spans="1:2" x14ac:dyDescent="0.3">
      <c r="A126" s="43">
        <v>45438</v>
      </c>
      <c r="B126" s="48">
        <v>88</v>
      </c>
    </row>
    <row r="127" spans="1:2" x14ac:dyDescent="0.3">
      <c r="A127" s="43">
        <v>45439</v>
      </c>
      <c r="B127" s="48">
        <v>88</v>
      </c>
    </row>
    <row r="128" spans="1:2" x14ac:dyDescent="0.3">
      <c r="A128" s="43">
        <v>45440</v>
      </c>
      <c r="B128" s="48">
        <v>88</v>
      </c>
    </row>
    <row r="129" spans="1:2" x14ac:dyDescent="0.3">
      <c r="A129" s="43">
        <v>45441</v>
      </c>
      <c r="B129" s="48">
        <v>88</v>
      </c>
    </row>
    <row r="130" spans="1:2" x14ac:dyDescent="0.3">
      <c r="A130" s="43">
        <v>45442</v>
      </c>
      <c r="B130" s="48">
        <v>88</v>
      </c>
    </row>
    <row r="131" spans="1:2" x14ac:dyDescent="0.3">
      <c r="A131" s="43">
        <v>45443</v>
      </c>
      <c r="B131" s="48">
        <v>88</v>
      </c>
    </row>
    <row r="132" spans="1:2" x14ac:dyDescent="0.3">
      <c r="A132" s="43">
        <v>45444</v>
      </c>
      <c r="B132" s="48">
        <v>88</v>
      </c>
    </row>
    <row r="133" spans="1:2" x14ac:dyDescent="0.3">
      <c r="A133" s="43">
        <v>45445</v>
      </c>
      <c r="B133" s="48">
        <v>88</v>
      </c>
    </row>
    <row r="134" spans="1:2" x14ac:dyDescent="0.3">
      <c r="A134" s="43">
        <v>45446</v>
      </c>
      <c r="B134" s="48">
        <v>88</v>
      </c>
    </row>
    <row r="135" spans="1:2" x14ac:dyDescent="0.3">
      <c r="A135" s="43">
        <v>45447</v>
      </c>
      <c r="B135" s="48">
        <v>88</v>
      </c>
    </row>
    <row r="136" spans="1:2" x14ac:dyDescent="0.3">
      <c r="A136" s="43">
        <v>45448</v>
      </c>
      <c r="B136" s="48">
        <v>88</v>
      </c>
    </row>
    <row r="137" spans="1:2" x14ac:dyDescent="0.3">
      <c r="A137" s="43">
        <v>45449</v>
      </c>
      <c r="B137" s="48">
        <v>88</v>
      </c>
    </row>
    <row r="138" spans="1:2" x14ac:dyDescent="0.3">
      <c r="A138" s="43">
        <v>45450</v>
      </c>
      <c r="B138" s="48">
        <v>88</v>
      </c>
    </row>
    <row r="139" spans="1:2" x14ac:dyDescent="0.3">
      <c r="A139" s="43">
        <v>45451</v>
      </c>
      <c r="B139" s="48">
        <v>88</v>
      </c>
    </row>
    <row r="140" spans="1:2" x14ac:dyDescent="0.3">
      <c r="A140" s="43">
        <v>45452</v>
      </c>
      <c r="B140" s="48">
        <v>88</v>
      </c>
    </row>
    <row r="141" spans="1:2" x14ac:dyDescent="0.3">
      <c r="A141" s="43">
        <v>45453</v>
      </c>
      <c r="B141" s="48">
        <v>88</v>
      </c>
    </row>
    <row r="142" spans="1:2" x14ac:dyDescent="0.3">
      <c r="A142" s="43">
        <v>45454</v>
      </c>
      <c r="B142" s="48">
        <v>88</v>
      </c>
    </row>
    <row r="143" spans="1:2" x14ac:dyDescent="0.3">
      <c r="A143" s="43">
        <v>45455</v>
      </c>
      <c r="B143" s="48">
        <v>88</v>
      </c>
    </row>
    <row r="144" spans="1:2" x14ac:dyDescent="0.3">
      <c r="A144" s="43">
        <v>45456</v>
      </c>
      <c r="B144" s="48">
        <v>88</v>
      </c>
    </row>
    <row r="145" spans="1:2" x14ac:dyDescent="0.3">
      <c r="A145" s="43">
        <v>45457</v>
      </c>
      <c r="B145" s="48">
        <v>88</v>
      </c>
    </row>
    <row r="146" spans="1:2" x14ac:dyDescent="0.3">
      <c r="A146" s="43">
        <v>45458</v>
      </c>
      <c r="B146" s="48">
        <v>88</v>
      </c>
    </row>
    <row r="147" spans="1:2" x14ac:dyDescent="0.3">
      <c r="A147" s="43">
        <v>45459</v>
      </c>
      <c r="B147" s="48">
        <v>88</v>
      </c>
    </row>
    <row r="148" spans="1:2" x14ac:dyDescent="0.3">
      <c r="A148" s="43">
        <v>45460</v>
      </c>
      <c r="B148" s="48">
        <v>88</v>
      </c>
    </row>
    <row r="149" spans="1:2" x14ac:dyDescent="0.3">
      <c r="A149" s="43">
        <v>45461</v>
      </c>
      <c r="B149" s="48">
        <v>88</v>
      </c>
    </row>
    <row r="150" spans="1:2" x14ac:dyDescent="0.3">
      <c r="A150" s="43">
        <v>45462</v>
      </c>
      <c r="B150" s="48">
        <v>88</v>
      </c>
    </row>
    <row r="151" spans="1:2" x14ac:dyDescent="0.3">
      <c r="A151" s="43">
        <v>45463</v>
      </c>
      <c r="B151" s="48">
        <v>88</v>
      </c>
    </row>
    <row r="152" spans="1:2" x14ac:dyDescent="0.3">
      <c r="A152" s="43">
        <v>45464</v>
      </c>
      <c r="B152" s="48">
        <v>88</v>
      </c>
    </row>
    <row r="153" spans="1:2" x14ac:dyDescent="0.3">
      <c r="A153" s="43">
        <v>45465</v>
      </c>
      <c r="B153" s="48">
        <v>88</v>
      </c>
    </row>
    <row r="154" spans="1:2" x14ac:dyDescent="0.3">
      <c r="A154" s="43">
        <v>45466</v>
      </c>
      <c r="B154" s="48">
        <v>88</v>
      </c>
    </row>
    <row r="155" spans="1:2" x14ac:dyDescent="0.3">
      <c r="A155" s="43">
        <v>45467</v>
      </c>
      <c r="B155" s="48">
        <v>88</v>
      </c>
    </row>
    <row r="156" spans="1:2" x14ac:dyDescent="0.3">
      <c r="A156" s="43">
        <v>45468</v>
      </c>
      <c r="B156" s="48">
        <v>88</v>
      </c>
    </row>
    <row r="157" spans="1:2" x14ac:dyDescent="0.3">
      <c r="A157" s="43">
        <v>45469</v>
      </c>
      <c r="B157" s="48">
        <v>88</v>
      </c>
    </row>
    <row r="158" spans="1:2" x14ac:dyDescent="0.3">
      <c r="A158" s="43">
        <v>45470</v>
      </c>
      <c r="B158" s="48">
        <v>88</v>
      </c>
    </row>
    <row r="159" spans="1:2" x14ac:dyDescent="0.3">
      <c r="A159" s="43">
        <v>45471</v>
      </c>
      <c r="B159" s="48">
        <v>88</v>
      </c>
    </row>
    <row r="160" spans="1:2" x14ac:dyDescent="0.3">
      <c r="A160" s="43">
        <v>45472</v>
      </c>
      <c r="B160" s="48">
        <v>88</v>
      </c>
    </row>
    <row r="161" spans="1:2" x14ac:dyDescent="0.3">
      <c r="A161" s="43">
        <v>45473</v>
      </c>
      <c r="B161" s="48">
        <v>88</v>
      </c>
    </row>
    <row r="162" spans="1:2" x14ac:dyDescent="0.3">
      <c r="A162" s="43">
        <v>45474</v>
      </c>
      <c r="B162" s="48">
        <v>88</v>
      </c>
    </row>
    <row r="163" spans="1:2" x14ac:dyDescent="0.3">
      <c r="A163" s="43">
        <v>45475</v>
      </c>
      <c r="B163" s="48">
        <v>88</v>
      </c>
    </row>
    <row r="164" spans="1:2" x14ac:dyDescent="0.3">
      <c r="A164" s="43">
        <v>45476</v>
      </c>
      <c r="B164" s="48">
        <v>88</v>
      </c>
    </row>
    <row r="165" spans="1:2" x14ac:dyDescent="0.3">
      <c r="A165" s="43">
        <v>45477</v>
      </c>
      <c r="B165" s="48">
        <v>88</v>
      </c>
    </row>
    <row r="166" spans="1:2" x14ac:dyDescent="0.3">
      <c r="A166" s="43">
        <v>45478</v>
      </c>
      <c r="B166" s="48">
        <v>88</v>
      </c>
    </row>
    <row r="167" spans="1:2" x14ac:dyDescent="0.3">
      <c r="A167" s="43">
        <v>45479</v>
      </c>
      <c r="B167" s="48">
        <v>88</v>
      </c>
    </row>
    <row r="168" spans="1:2" x14ac:dyDescent="0.3">
      <c r="A168" s="43">
        <v>45480</v>
      </c>
      <c r="B168" s="48">
        <v>88</v>
      </c>
    </row>
    <row r="169" spans="1:2" x14ac:dyDescent="0.3">
      <c r="A169" s="43">
        <v>45481</v>
      </c>
      <c r="B169" s="48">
        <v>88</v>
      </c>
    </row>
    <row r="170" spans="1:2" x14ac:dyDescent="0.3">
      <c r="A170" s="43">
        <v>45482</v>
      </c>
      <c r="B170" s="48">
        <v>88</v>
      </c>
    </row>
    <row r="171" spans="1:2" x14ac:dyDescent="0.3">
      <c r="A171" s="43">
        <v>45483</v>
      </c>
      <c r="B171" s="48">
        <v>88</v>
      </c>
    </row>
    <row r="172" spans="1:2" x14ac:dyDescent="0.3">
      <c r="A172" s="43">
        <v>45484</v>
      </c>
      <c r="B172" s="48">
        <v>88</v>
      </c>
    </row>
    <row r="173" spans="1:2" x14ac:dyDescent="0.3">
      <c r="A173" s="43">
        <v>45485</v>
      </c>
      <c r="B173" s="48">
        <v>88</v>
      </c>
    </row>
    <row r="174" spans="1:2" x14ac:dyDescent="0.3">
      <c r="A174" s="43">
        <v>45486</v>
      </c>
      <c r="B174" s="48">
        <v>88</v>
      </c>
    </row>
    <row r="175" spans="1:2" x14ac:dyDescent="0.3">
      <c r="A175" s="43">
        <v>45487</v>
      </c>
      <c r="B175" s="48">
        <v>88</v>
      </c>
    </row>
    <row r="176" spans="1:2" x14ac:dyDescent="0.3">
      <c r="A176" s="43">
        <v>45488</v>
      </c>
      <c r="B176" s="48">
        <v>88</v>
      </c>
    </row>
    <row r="177" spans="1:2" x14ac:dyDescent="0.3">
      <c r="A177" s="43">
        <v>45489</v>
      </c>
      <c r="B177" s="48">
        <v>88</v>
      </c>
    </row>
    <row r="178" spans="1:2" x14ac:dyDescent="0.3">
      <c r="A178" s="43">
        <v>45490</v>
      </c>
      <c r="B178" s="48">
        <v>88</v>
      </c>
    </row>
    <row r="179" spans="1:2" x14ac:dyDescent="0.3">
      <c r="A179" s="43">
        <v>45491</v>
      </c>
      <c r="B179" s="48">
        <v>88</v>
      </c>
    </row>
    <row r="180" spans="1:2" x14ac:dyDescent="0.3">
      <c r="A180" s="43">
        <v>45492</v>
      </c>
      <c r="B180" s="48">
        <v>88</v>
      </c>
    </row>
    <row r="181" spans="1:2" x14ac:dyDescent="0.3">
      <c r="A181" s="43">
        <v>45493</v>
      </c>
      <c r="B181" s="48">
        <v>88</v>
      </c>
    </row>
    <row r="182" spans="1:2" x14ac:dyDescent="0.3">
      <c r="A182" s="43">
        <v>45494</v>
      </c>
      <c r="B182" s="48">
        <v>88</v>
      </c>
    </row>
    <row r="183" spans="1:2" x14ac:dyDescent="0.3">
      <c r="A183" s="43">
        <v>45495</v>
      </c>
      <c r="B183" s="48">
        <v>88</v>
      </c>
    </row>
    <row r="184" spans="1:2" x14ac:dyDescent="0.3">
      <c r="A184" s="43">
        <v>45496</v>
      </c>
      <c r="B184" s="48">
        <v>88</v>
      </c>
    </row>
    <row r="185" spans="1:2" x14ac:dyDescent="0.3">
      <c r="A185" s="43">
        <v>45497</v>
      </c>
      <c r="B185" s="48">
        <v>88</v>
      </c>
    </row>
    <row r="186" spans="1:2" x14ac:dyDescent="0.3">
      <c r="A186" s="43">
        <v>45498</v>
      </c>
      <c r="B186" s="48">
        <v>88</v>
      </c>
    </row>
    <row r="187" spans="1:2" x14ac:dyDescent="0.3">
      <c r="A187" s="43">
        <v>45499</v>
      </c>
      <c r="B187" s="48">
        <v>88</v>
      </c>
    </row>
    <row r="188" spans="1:2" x14ac:dyDescent="0.3">
      <c r="A188" s="43">
        <v>45500</v>
      </c>
      <c r="B188" s="48">
        <v>88</v>
      </c>
    </row>
    <row r="189" spans="1:2" x14ac:dyDescent="0.3">
      <c r="A189" s="43">
        <v>45501</v>
      </c>
      <c r="B189" s="48">
        <v>88</v>
      </c>
    </row>
    <row r="190" spans="1:2" x14ac:dyDescent="0.3">
      <c r="A190" s="43">
        <v>45502</v>
      </c>
      <c r="B190" s="48">
        <v>88</v>
      </c>
    </row>
    <row r="191" spans="1:2" x14ac:dyDescent="0.3">
      <c r="A191" s="43">
        <v>45503</v>
      </c>
      <c r="B191" s="48">
        <v>88</v>
      </c>
    </row>
    <row r="192" spans="1:2" x14ac:dyDescent="0.3">
      <c r="A192" s="43">
        <v>45504</v>
      </c>
      <c r="B192" s="48">
        <v>88</v>
      </c>
    </row>
    <row r="193" spans="1:2" x14ac:dyDescent="0.3">
      <c r="A193" s="43">
        <v>45505</v>
      </c>
      <c r="B193" s="48">
        <v>88</v>
      </c>
    </row>
    <row r="194" spans="1:2" x14ac:dyDescent="0.3">
      <c r="A194" s="43">
        <v>45506</v>
      </c>
      <c r="B194" s="48">
        <v>88</v>
      </c>
    </row>
    <row r="195" spans="1:2" x14ac:dyDescent="0.3">
      <c r="A195" s="43">
        <v>45507</v>
      </c>
      <c r="B195" s="48">
        <v>88</v>
      </c>
    </row>
    <row r="196" spans="1:2" x14ac:dyDescent="0.3">
      <c r="A196" s="43">
        <v>45508</v>
      </c>
      <c r="B196" s="48">
        <v>88</v>
      </c>
    </row>
    <row r="197" spans="1:2" x14ac:dyDescent="0.3">
      <c r="A197" s="43">
        <v>45509</v>
      </c>
      <c r="B197" s="48">
        <v>88</v>
      </c>
    </row>
    <row r="198" spans="1:2" x14ac:dyDescent="0.3">
      <c r="A198" s="43">
        <v>45510</v>
      </c>
      <c r="B198" s="48">
        <v>88</v>
      </c>
    </row>
    <row r="199" spans="1:2" x14ac:dyDescent="0.3">
      <c r="A199" s="43">
        <v>45511</v>
      </c>
      <c r="B199" s="48">
        <v>88</v>
      </c>
    </row>
    <row r="200" spans="1:2" x14ac:dyDescent="0.3">
      <c r="A200" s="43">
        <v>45511</v>
      </c>
      <c r="B200" s="47">
        <v>10</v>
      </c>
    </row>
    <row r="201" spans="1:2" x14ac:dyDescent="0.3">
      <c r="A201" s="43">
        <v>45512</v>
      </c>
      <c r="B201" s="48">
        <v>88</v>
      </c>
    </row>
    <row r="202" spans="1:2" x14ac:dyDescent="0.3">
      <c r="A202" s="43">
        <v>45513</v>
      </c>
      <c r="B202" s="48">
        <v>88</v>
      </c>
    </row>
    <row r="203" spans="1:2" x14ac:dyDescent="0.3">
      <c r="A203" s="43">
        <v>45514</v>
      </c>
      <c r="B203" s="48">
        <v>88</v>
      </c>
    </row>
    <row r="204" spans="1:2" x14ac:dyDescent="0.3">
      <c r="A204" s="43">
        <v>45515</v>
      </c>
      <c r="B204" s="48">
        <v>88</v>
      </c>
    </row>
    <row r="205" spans="1:2" x14ac:dyDescent="0.3">
      <c r="A205" s="43">
        <v>45516</v>
      </c>
      <c r="B205" s="48">
        <v>88</v>
      </c>
    </row>
    <row r="206" spans="1:2" x14ac:dyDescent="0.3">
      <c r="A206" s="43">
        <v>45517</v>
      </c>
      <c r="B206" s="48">
        <v>88</v>
      </c>
    </row>
    <row r="207" spans="1:2" x14ac:dyDescent="0.3">
      <c r="A207" s="43">
        <v>45518</v>
      </c>
      <c r="B207" s="48">
        <v>88</v>
      </c>
    </row>
    <row r="208" spans="1:2" x14ac:dyDescent="0.3">
      <c r="A208" s="43">
        <v>45519</v>
      </c>
      <c r="B208" s="48">
        <v>88</v>
      </c>
    </row>
    <row r="209" spans="1:2" x14ac:dyDescent="0.3">
      <c r="A209" s="43">
        <v>45520</v>
      </c>
      <c r="B209" s="48">
        <v>88</v>
      </c>
    </row>
    <row r="210" spans="1:2" x14ac:dyDescent="0.3">
      <c r="A210" s="43">
        <v>45521</v>
      </c>
      <c r="B210" s="48">
        <v>88</v>
      </c>
    </row>
    <row r="211" spans="1:2" x14ac:dyDescent="0.3">
      <c r="A211" s="43">
        <v>45522</v>
      </c>
      <c r="B211" s="48">
        <v>88</v>
      </c>
    </row>
    <row r="212" spans="1:2" x14ac:dyDescent="0.3">
      <c r="A212" s="43">
        <v>45523</v>
      </c>
      <c r="B212" s="48">
        <v>88</v>
      </c>
    </row>
    <row r="213" spans="1:2" x14ac:dyDescent="0.3">
      <c r="A213" s="43">
        <v>45524</v>
      </c>
      <c r="B213" s="48">
        <v>88</v>
      </c>
    </row>
    <row r="214" spans="1:2" x14ac:dyDescent="0.3">
      <c r="A214" s="43">
        <v>45525</v>
      </c>
      <c r="B214" s="48">
        <v>88</v>
      </c>
    </row>
    <row r="215" spans="1:2" x14ac:dyDescent="0.3">
      <c r="A215" s="43">
        <v>45525</v>
      </c>
      <c r="B215" s="47">
        <v>52</v>
      </c>
    </row>
    <row r="216" spans="1:2" x14ac:dyDescent="0.3">
      <c r="A216" s="43">
        <v>45526</v>
      </c>
      <c r="B216" s="48">
        <v>88</v>
      </c>
    </row>
    <row r="217" spans="1:2" x14ac:dyDescent="0.3">
      <c r="A217" s="43">
        <v>45527</v>
      </c>
      <c r="B217" s="48">
        <v>88</v>
      </c>
    </row>
    <row r="218" spans="1:2" x14ac:dyDescent="0.3">
      <c r="A218" s="43">
        <v>45528</v>
      </c>
      <c r="B218" s="48">
        <v>88</v>
      </c>
    </row>
    <row r="219" spans="1:2" x14ac:dyDescent="0.3">
      <c r="A219" s="43">
        <v>45529</v>
      </c>
      <c r="B219" s="48">
        <v>88</v>
      </c>
    </row>
    <row r="220" spans="1:2" x14ac:dyDescent="0.3">
      <c r="A220" s="43">
        <v>45530</v>
      </c>
      <c r="B220" s="48">
        <v>88</v>
      </c>
    </row>
    <row r="221" spans="1:2" x14ac:dyDescent="0.3">
      <c r="A221" s="43">
        <v>45531</v>
      </c>
      <c r="B221" s="48">
        <v>88</v>
      </c>
    </row>
    <row r="222" spans="1:2" x14ac:dyDescent="0.3">
      <c r="A222" s="43">
        <v>45532</v>
      </c>
      <c r="B222" s="48">
        <v>88</v>
      </c>
    </row>
    <row r="223" spans="1:2" x14ac:dyDescent="0.3">
      <c r="A223" s="43">
        <v>45533</v>
      </c>
      <c r="B223" s="48">
        <v>88</v>
      </c>
    </row>
    <row r="224" spans="1:2" x14ac:dyDescent="0.3">
      <c r="A224" s="43">
        <v>45534</v>
      </c>
      <c r="B224" s="48">
        <v>88</v>
      </c>
    </row>
    <row r="225" spans="1:2" x14ac:dyDescent="0.3">
      <c r="A225" s="43">
        <v>45535</v>
      </c>
      <c r="B225" s="48">
        <v>88</v>
      </c>
    </row>
    <row r="226" spans="1:2" x14ac:dyDescent="0.3">
      <c r="A226" s="43">
        <v>45536</v>
      </c>
      <c r="B226" s="48">
        <v>88</v>
      </c>
    </row>
    <row r="227" spans="1:2" x14ac:dyDescent="0.3">
      <c r="A227" s="43">
        <v>45537</v>
      </c>
      <c r="B227" s="48">
        <v>88</v>
      </c>
    </row>
    <row r="228" spans="1:2" x14ac:dyDescent="0.3">
      <c r="A228" s="43">
        <v>45538</v>
      </c>
      <c r="B228" s="48">
        <v>88</v>
      </c>
    </row>
    <row r="229" spans="1:2" x14ac:dyDescent="0.3">
      <c r="A229" s="43">
        <v>45539</v>
      </c>
      <c r="B229" s="48">
        <v>88</v>
      </c>
    </row>
    <row r="230" spans="1:2" x14ac:dyDescent="0.3">
      <c r="A230" s="43">
        <v>45540</v>
      </c>
      <c r="B230" s="48">
        <v>88</v>
      </c>
    </row>
    <row r="231" spans="1:2" x14ac:dyDescent="0.3">
      <c r="A231" s="43">
        <v>45541</v>
      </c>
      <c r="B231" s="48">
        <v>88</v>
      </c>
    </row>
    <row r="232" spans="1:2" x14ac:dyDescent="0.3">
      <c r="A232" s="43">
        <v>45542</v>
      </c>
      <c r="B232" s="48">
        <v>88</v>
      </c>
    </row>
    <row r="233" spans="1:2" x14ac:dyDescent="0.3">
      <c r="A233" s="43">
        <v>45543</v>
      </c>
      <c r="B233" s="48">
        <v>88</v>
      </c>
    </row>
    <row r="234" spans="1:2" x14ac:dyDescent="0.3">
      <c r="A234" s="43">
        <v>45544</v>
      </c>
      <c r="B234" s="48">
        <v>88</v>
      </c>
    </row>
    <row r="235" spans="1:2" x14ac:dyDescent="0.3">
      <c r="A235" s="43">
        <v>45545</v>
      </c>
      <c r="B235" s="48">
        <v>88</v>
      </c>
    </row>
    <row r="236" spans="1:2" x14ac:dyDescent="0.3">
      <c r="A236" s="43">
        <v>45546</v>
      </c>
      <c r="B236" s="48">
        <v>88</v>
      </c>
    </row>
    <row r="237" spans="1:2" x14ac:dyDescent="0.3">
      <c r="A237" s="43">
        <v>45547</v>
      </c>
      <c r="B237" s="48">
        <v>88</v>
      </c>
    </row>
    <row r="238" spans="1:2" x14ac:dyDescent="0.3">
      <c r="A238" s="43">
        <v>45548</v>
      </c>
      <c r="B238" s="48">
        <v>88</v>
      </c>
    </row>
    <row r="239" spans="1:2" x14ac:dyDescent="0.3">
      <c r="A239" s="43">
        <v>45549</v>
      </c>
      <c r="B239" s="48">
        <v>88</v>
      </c>
    </row>
    <row r="240" spans="1:2" x14ac:dyDescent="0.3">
      <c r="A240" s="43">
        <v>45550</v>
      </c>
      <c r="B240" s="48">
        <v>88</v>
      </c>
    </row>
    <row r="241" spans="1:2" x14ac:dyDescent="0.3">
      <c r="A241" s="43">
        <v>45551</v>
      </c>
      <c r="B241" s="48">
        <v>88</v>
      </c>
    </row>
    <row r="242" spans="1:2" x14ac:dyDescent="0.3">
      <c r="A242" s="43">
        <v>45552</v>
      </c>
      <c r="B242" s="48">
        <v>88</v>
      </c>
    </row>
    <row r="243" spans="1:2" x14ac:dyDescent="0.3">
      <c r="A243" s="43">
        <v>45553</v>
      </c>
      <c r="B243" s="48">
        <v>88</v>
      </c>
    </row>
    <row r="244" spans="1:2" x14ac:dyDescent="0.3">
      <c r="A244" s="43">
        <v>45554</v>
      </c>
      <c r="B244" s="48">
        <v>88</v>
      </c>
    </row>
    <row r="245" spans="1:2" x14ac:dyDescent="0.3">
      <c r="A245" s="43">
        <v>45555</v>
      </c>
      <c r="B245" s="48">
        <v>88</v>
      </c>
    </row>
    <row r="246" spans="1:2" x14ac:dyDescent="0.3">
      <c r="A246" s="43">
        <v>45556</v>
      </c>
      <c r="B246" s="48">
        <v>88</v>
      </c>
    </row>
    <row r="247" spans="1:2" x14ac:dyDescent="0.3">
      <c r="A247" s="43">
        <v>45557</v>
      </c>
      <c r="B247" s="48">
        <v>88</v>
      </c>
    </row>
    <row r="248" spans="1:2" x14ac:dyDescent="0.3">
      <c r="A248" s="43">
        <v>45558</v>
      </c>
      <c r="B248" s="48">
        <v>88</v>
      </c>
    </row>
    <row r="249" spans="1:2" x14ac:dyDescent="0.3">
      <c r="A249" s="43">
        <v>45559</v>
      </c>
      <c r="B249" s="48">
        <v>88</v>
      </c>
    </row>
    <row r="250" spans="1:2" x14ac:dyDescent="0.3">
      <c r="A250" s="43">
        <v>45560</v>
      </c>
      <c r="B250" s="48">
        <v>88</v>
      </c>
    </row>
    <row r="251" spans="1:2" x14ac:dyDescent="0.3">
      <c r="A251" s="43">
        <v>45561</v>
      </c>
      <c r="B251" s="48">
        <v>88</v>
      </c>
    </row>
    <row r="252" spans="1:2" x14ac:dyDescent="0.3">
      <c r="A252" s="43">
        <v>45562</v>
      </c>
      <c r="B252" s="48">
        <v>88</v>
      </c>
    </row>
    <row r="253" spans="1:2" x14ac:dyDescent="0.3">
      <c r="A253" s="43">
        <v>45563</v>
      </c>
      <c r="B253" s="48">
        <v>88</v>
      </c>
    </row>
    <row r="254" spans="1:2" x14ac:dyDescent="0.3">
      <c r="A254" s="43">
        <v>45564</v>
      </c>
      <c r="B254" s="48">
        <v>88</v>
      </c>
    </row>
    <row r="255" spans="1:2" x14ac:dyDescent="0.3">
      <c r="A255" s="43">
        <v>45565</v>
      </c>
      <c r="B255" s="48">
        <v>88</v>
      </c>
    </row>
    <row r="256" spans="1:2" x14ac:dyDescent="0.3">
      <c r="A256" s="43">
        <v>45566</v>
      </c>
      <c r="B256" s="48">
        <v>88</v>
      </c>
    </row>
    <row r="257" spans="1:2" x14ac:dyDescent="0.3">
      <c r="A257" s="43">
        <v>45567</v>
      </c>
      <c r="B257" s="48">
        <v>88</v>
      </c>
    </row>
    <row r="258" spans="1:2" x14ac:dyDescent="0.3">
      <c r="A258" s="43">
        <v>45568</v>
      </c>
      <c r="B258" s="48">
        <v>88</v>
      </c>
    </row>
    <row r="259" spans="1:2" x14ac:dyDescent="0.3">
      <c r="A259" s="43">
        <v>45569</v>
      </c>
      <c r="B259" s="48">
        <v>88</v>
      </c>
    </row>
    <row r="260" spans="1:2" x14ac:dyDescent="0.3">
      <c r="A260" s="43">
        <v>45570</v>
      </c>
      <c r="B260" s="48">
        <v>88</v>
      </c>
    </row>
    <row r="261" spans="1:2" x14ac:dyDescent="0.3">
      <c r="A261" s="43">
        <v>45571</v>
      </c>
      <c r="B261" s="48">
        <v>88</v>
      </c>
    </row>
    <row r="262" spans="1:2" x14ac:dyDescent="0.3">
      <c r="A262" s="43">
        <v>45572</v>
      </c>
      <c r="B262" s="48">
        <v>88</v>
      </c>
    </row>
    <row r="263" spans="1:2" x14ac:dyDescent="0.3">
      <c r="A263" s="43">
        <v>45573</v>
      </c>
      <c r="B263" s="48">
        <v>88</v>
      </c>
    </row>
    <row r="264" spans="1:2" x14ac:dyDescent="0.3">
      <c r="A264" s="43">
        <v>45574</v>
      </c>
      <c r="B264" s="48">
        <v>88</v>
      </c>
    </row>
    <row r="265" spans="1:2" x14ac:dyDescent="0.3">
      <c r="A265" s="43">
        <v>45575</v>
      </c>
      <c r="B265" s="48">
        <v>88</v>
      </c>
    </row>
    <row r="266" spans="1:2" x14ac:dyDescent="0.3">
      <c r="A266" s="43">
        <v>45576</v>
      </c>
      <c r="B266" s="48">
        <v>88</v>
      </c>
    </row>
    <row r="267" spans="1:2" x14ac:dyDescent="0.3">
      <c r="A267" s="43">
        <v>45577</v>
      </c>
      <c r="B267" s="48">
        <v>88</v>
      </c>
    </row>
    <row r="268" spans="1:2" x14ac:dyDescent="0.3">
      <c r="A268" s="43">
        <v>45578</v>
      </c>
      <c r="B268" s="48">
        <v>88</v>
      </c>
    </row>
    <row r="269" spans="1:2" x14ac:dyDescent="0.3">
      <c r="A269" s="43">
        <v>45579</v>
      </c>
      <c r="B269" s="48">
        <v>88</v>
      </c>
    </row>
    <row r="270" spans="1:2" x14ac:dyDescent="0.3">
      <c r="A270" s="43">
        <v>45580</v>
      </c>
      <c r="B270" s="48">
        <v>88</v>
      </c>
    </row>
    <row r="271" spans="1:2" x14ac:dyDescent="0.3">
      <c r="A271" s="43">
        <v>45581</v>
      </c>
      <c r="B271" s="48">
        <v>88</v>
      </c>
    </row>
    <row r="272" spans="1:2" x14ac:dyDescent="0.3">
      <c r="A272" s="43">
        <v>45582</v>
      </c>
      <c r="B272" s="48">
        <v>88</v>
      </c>
    </row>
    <row r="273" spans="1:2" x14ac:dyDescent="0.3">
      <c r="A273" s="43">
        <v>45583</v>
      </c>
      <c r="B273" s="48">
        <v>88</v>
      </c>
    </row>
    <row r="274" spans="1:2" x14ac:dyDescent="0.3">
      <c r="A274" s="43">
        <v>45584</v>
      </c>
      <c r="B274" s="48">
        <v>88</v>
      </c>
    </row>
    <row r="275" spans="1:2" x14ac:dyDescent="0.3">
      <c r="A275" s="43">
        <v>45585</v>
      </c>
      <c r="B275" s="48">
        <v>88</v>
      </c>
    </row>
    <row r="276" spans="1:2" x14ac:dyDescent="0.3">
      <c r="A276" s="43">
        <v>45586</v>
      </c>
      <c r="B276" s="48">
        <v>88</v>
      </c>
    </row>
    <row r="277" spans="1:2" x14ac:dyDescent="0.3">
      <c r="A277" s="43">
        <v>45587</v>
      </c>
      <c r="B277" s="48">
        <v>88</v>
      </c>
    </row>
    <row r="278" spans="1:2" x14ac:dyDescent="0.3">
      <c r="A278" s="43">
        <v>45588</v>
      </c>
      <c r="B278" s="48">
        <v>88</v>
      </c>
    </row>
    <row r="279" spans="1:2" x14ac:dyDescent="0.3">
      <c r="A279" s="43">
        <v>45589</v>
      </c>
      <c r="B279" s="48">
        <v>88</v>
      </c>
    </row>
    <row r="280" spans="1:2" x14ac:dyDescent="0.3">
      <c r="A280" s="43">
        <v>45590</v>
      </c>
      <c r="B280" s="48">
        <v>88</v>
      </c>
    </row>
    <row r="281" spans="1:2" x14ac:dyDescent="0.3">
      <c r="A281" s="43">
        <v>45591</v>
      </c>
      <c r="B281" s="48">
        <v>88</v>
      </c>
    </row>
    <row r="282" spans="1:2" x14ac:dyDescent="0.3">
      <c r="A282" s="43">
        <v>45592</v>
      </c>
      <c r="B282" s="48">
        <v>88</v>
      </c>
    </row>
    <row r="283" spans="1:2" x14ac:dyDescent="0.3">
      <c r="A283" s="43">
        <v>45593</v>
      </c>
      <c r="B283" s="48">
        <v>88</v>
      </c>
    </row>
    <row r="284" spans="1:2" x14ac:dyDescent="0.3">
      <c r="A284" s="43">
        <v>45594</v>
      </c>
      <c r="B284" s="48">
        <v>88</v>
      </c>
    </row>
    <row r="285" spans="1:2" x14ac:dyDescent="0.3">
      <c r="A285" s="43">
        <v>45595</v>
      </c>
      <c r="B285" s="48">
        <v>88</v>
      </c>
    </row>
    <row r="286" spans="1:2" x14ac:dyDescent="0.3">
      <c r="A286" s="43">
        <v>45596</v>
      </c>
      <c r="B286" s="48">
        <v>88</v>
      </c>
    </row>
  </sheetData>
  <sortState ref="A2:B286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284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283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58"/>
  <sheetViews>
    <sheetView tabSelected="1" workbookViewId="0">
      <pane ySplit="1" topLeftCell="A100" activePane="bottomLeft" state="frozen"/>
      <selection pane="bottomLeft" activeCell="E113" sqref="E113"/>
    </sheetView>
  </sheetViews>
  <sheetFormatPr defaultRowHeight="14.4" x14ac:dyDescent="0.3"/>
  <cols>
    <col min="1" max="1" width="29.33203125" style="51" bestFit="1" customWidth="1"/>
    <col min="2" max="2" width="10.109375" style="47" bestFit="1" customWidth="1"/>
  </cols>
  <sheetData>
    <row r="1" spans="1:2" s="1" customFormat="1" x14ac:dyDescent="0.3">
      <c r="A1" s="2" t="s">
        <v>0</v>
      </c>
      <c r="B1" s="44" t="s">
        <v>2</v>
      </c>
    </row>
    <row r="2" spans="1:2" s="1" customFormat="1" x14ac:dyDescent="0.3">
      <c r="A2" s="43">
        <v>44110</v>
      </c>
      <c r="B2" s="42">
        <f>100*3</f>
        <v>300</v>
      </c>
    </row>
    <row r="3" spans="1:2" s="1" customFormat="1" x14ac:dyDescent="0.3">
      <c r="A3" s="43">
        <v>44124</v>
      </c>
      <c r="B3" s="42">
        <v>9</v>
      </c>
    </row>
    <row r="4" spans="1:2" s="1" customFormat="1" x14ac:dyDescent="0.3">
      <c r="A4" s="43">
        <v>44138</v>
      </c>
      <c r="B4" s="42">
        <f>1/3</f>
        <v>0.33333333333333331</v>
      </c>
    </row>
    <row r="5" spans="1:2" s="1" customFormat="1" x14ac:dyDescent="0.3">
      <c r="A5" s="43">
        <v>44180</v>
      </c>
      <c r="B5" s="42">
        <v>6</v>
      </c>
    </row>
    <row r="6" spans="1:2" s="1" customFormat="1" x14ac:dyDescent="0.3">
      <c r="A6" s="43">
        <v>44208</v>
      </c>
      <c r="B6" s="42">
        <v>22</v>
      </c>
    </row>
    <row r="7" spans="1:2" s="1" customFormat="1" x14ac:dyDescent="0.3">
      <c r="A7" s="43">
        <v>44222</v>
      </c>
      <c r="B7" s="42">
        <v>2</v>
      </c>
    </row>
    <row r="8" spans="1:2" s="1" customFormat="1" x14ac:dyDescent="0.3">
      <c r="A8" s="43">
        <v>44236</v>
      </c>
      <c r="B8" s="42">
        <v>18</v>
      </c>
    </row>
    <row r="9" spans="1:2" s="1" customFormat="1" x14ac:dyDescent="0.3">
      <c r="A9" s="43">
        <v>44236</v>
      </c>
      <c r="B9" s="42">
        <v>3</v>
      </c>
    </row>
    <row r="10" spans="1:2" s="1" customFormat="1" x14ac:dyDescent="0.3">
      <c r="A10" s="43">
        <v>44250</v>
      </c>
      <c r="B10" s="42">
        <f>1/3</f>
        <v>0.33333333333333331</v>
      </c>
    </row>
    <row r="11" spans="1:2" s="1" customFormat="1" x14ac:dyDescent="0.3">
      <c r="A11" s="43">
        <v>44264</v>
      </c>
      <c r="B11" s="42">
        <v>22</v>
      </c>
    </row>
    <row r="12" spans="1:2" s="1" customFormat="1" x14ac:dyDescent="0.3">
      <c r="A12" s="43">
        <v>44293</v>
      </c>
      <c r="B12" s="42">
        <v>9</v>
      </c>
    </row>
    <row r="13" spans="1:2" s="1" customFormat="1" x14ac:dyDescent="0.3">
      <c r="A13" s="43">
        <v>44383</v>
      </c>
      <c r="B13" s="42">
        <v>5</v>
      </c>
    </row>
    <row r="14" spans="1:2" s="1" customFormat="1" x14ac:dyDescent="0.3">
      <c r="A14" s="43">
        <v>44405</v>
      </c>
      <c r="B14" s="42">
        <v>200</v>
      </c>
    </row>
    <row r="15" spans="1:2" s="1" customFormat="1" x14ac:dyDescent="0.3">
      <c r="A15" s="43">
        <v>44474</v>
      </c>
      <c r="B15" s="42">
        <v>34</v>
      </c>
    </row>
    <row r="16" spans="1:2" s="1" customFormat="1" x14ac:dyDescent="0.3">
      <c r="A16" s="43">
        <v>44516</v>
      </c>
      <c r="B16" s="42">
        <v>30</v>
      </c>
    </row>
    <row r="17" spans="1:2" s="1" customFormat="1" x14ac:dyDescent="0.3">
      <c r="A17" s="43">
        <v>44572</v>
      </c>
      <c r="B17" s="42">
        <v>20</v>
      </c>
    </row>
    <row r="18" spans="1:2" s="1" customFormat="1" x14ac:dyDescent="0.3">
      <c r="A18" s="43">
        <v>44572</v>
      </c>
      <c r="B18" s="42">
        <v>13</v>
      </c>
    </row>
    <row r="19" spans="1:2" s="1" customFormat="1" x14ac:dyDescent="0.3">
      <c r="A19" s="43">
        <v>44580</v>
      </c>
      <c r="B19" s="42">
        <v>6</v>
      </c>
    </row>
    <row r="20" spans="1:2" x14ac:dyDescent="0.3">
      <c r="A20" s="43">
        <v>44586</v>
      </c>
      <c r="B20" s="48">
        <v>10</v>
      </c>
    </row>
    <row r="21" spans="1:2" x14ac:dyDescent="0.3">
      <c r="A21" s="43">
        <v>44587</v>
      </c>
      <c r="B21" s="48">
        <v>9</v>
      </c>
    </row>
    <row r="22" spans="1:2" x14ac:dyDescent="0.3">
      <c r="A22" s="43">
        <v>44594</v>
      </c>
      <c r="B22" s="48">
        <v>19</v>
      </c>
    </row>
    <row r="23" spans="1:2" x14ac:dyDescent="0.3">
      <c r="A23" s="43">
        <v>44600</v>
      </c>
      <c r="B23" s="48">
        <f>10/3</f>
        <v>3.3333333333333335</v>
      </c>
    </row>
    <row r="24" spans="1:2" x14ac:dyDescent="0.3">
      <c r="A24" s="43">
        <v>44623</v>
      </c>
      <c r="B24" s="48">
        <v>16</v>
      </c>
    </row>
    <row r="25" spans="1:2" x14ac:dyDescent="0.3">
      <c r="A25" s="43">
        <v>44635</v>
      </c>
      <c r="B25" s="48">
        <v>6</v>
      </c>
    </row>
    <row r="26" spans="1:2" x14ac:dyDescent="0.3">
      <c r="A26" s="43">
        <v>44645</v>
      </c>
      <c r="B26" s="48">
        <v>49</v>
      </c>
    </row>
    <row r="27" spans="1:2" x14ac:dyDescent="0.3">
      <c r="A27" s="43">
        <v>44895</v>
      </c>
      <c r="B27" s="48">
        <v>10</v>
      </c>
    </row>
    <row r="28" spans="1:2" x14ac:dyDescent="0.3">
      <c r="A28" s="43">
        <v>44908</v>
      </c>
      <c r="B28" s="48">
        <v>28</v>
      </c>
    </row>
    <row r="29" spans="1:2" x14ac:dyDescent="0.3">
      <c r="A29" s="43">
        <v>44910</v>
      </c>
      <c r="B29" s="48">
        <v>3</v>
      </c>
    </row>
    <row r="30" spans="1:2" x14ac:dyDescent="0.3">
      <c r="A30" s="43">
        <v>44916</v>
      </c>
      <c r="B30" s="48">
        <v>42</v>
      </c>
    </row>
    <row r="31" spans="1:2" x14ac:dyDescent="0.3">
      <c r="A31" s="43">
        <v>44931</v>
      </c>
      <c r="B31" s="48">
        <v>7</v>
      </c>
    </row>
    <row r="32" spans="1:2" x14ac:dyDescent="0.3">
      <c r="A32" s="43">
        <v>44936</v>
      </c>
      <c r="B32" s="48">
        <v>63</v>
      </c>
    </row>
    <row r="33" spans="1:2" x14ac:dyDescent="0.3">
      <c r="A33" s="43">
        <v>44937</v>
      </c>
      <c r="B33" s="48">
        <v>15</v>
      </c>
    </row>
    <row r="34" spans="1:2" x14ac:dyDescent="0.3">
      <c r="A34" s="43">
        <v>44943</v>
      </c>
      <c r="B34" s="48">
        <v>10</v>
      </c>
    </row>
    <row r="35" spans="1:2" x14ac:dyDescent="0.3">
      <c r="A35" s="43">
        <v>44951</v>
      </c>
      <c r="B35" s="48">
        <v>10</v>
      </c>
    </row>
    <row r="36" spans="1:2" x14ac:dyDescent="0.3">
      <c r="A36" s="43">
        <v>44958</v>
      </c>
      <c r="B36" s="48">
        <v>12</v>
      </c>
    </row>
    <row r="37" spans="1:2" x14ac:dyDescent="0.3">
      <c r="A37" s="43">
        <v>44973</v>
      </c>
      <c r="B37" s="48">
        <v>140</v>
      </c>
    </row>
    <row r="38" spans="1:2" x14ac:dyDescent="0.3">
      <c r="A38" s="43">
        <v>45008</v>
      </c>
      <c r="B38" s="48">
        <v>60</v>
      </c>
    </row>
    <row r="39" spans="1:2" x14ac:dyDescent="0.3">
      <c r="A39" s="43">
        <v>45020</v>
      </c>
      <c r="B39" s="48">
        <v>147</v>
      </c>
    </row>
    <row r="40" spans="1:2" x14ac:dyDescent="0.3">
      <c r="A40" s="53">
        <v>45202</v>
      </c>
      <c r="B40" s="42">
        <v>77</v>
      </c>
    </row>
    <row r="41" spans="1:2" x14ac:dyDescent="0.3">
      <c r="A41" s="53">
        <v>45209</v>
      </c>
      <c r="B41" s="42">
        <v>24</v>
      </c>
    </row>
    <row r="42" spans="1:2" x14ac:dyDescent="0.3">
      <c r="A42" s="53">
        <v>45223</v>
      </c>
      <c r="B42" s="42">
        <v>1</v>
      </c>
    </row>
    <row r="43" spans="1:2" x14ac:dyDescent="0.3">
      <c r="A43" s="53">
        <v>45230</v>
      </c>
      <c r="B43" s="42">
        <v>26</v>
      </c>
    </row>
    <row r="44" spans="1:2" x14ac:dyDescent="0.3">
      <c r="A44" s="43">
        <v>45231</v>
      </c>
      <c r="B44" s="48">
        <f>1/3</f>
        <v>0.33333333333333331</v>
      </c>
    </row>
    <row r="45" spans="1:2" x14ac:dyDescent="0.3">
      <c r="A45" s="43">
        <v>45245</v>
      </c>
      <c r="B45" s="48">
        <v>50</v>
      </c>
    </row>
    <row r="46" spans="1:2" x14ac:dyDescent="0.3">
      <c r="A46" s="53">
        <v>45245</v>
      </c>
      <c r="B46" s="42">
        <f>1/3</f>
        <v>0.33333333333333331</v>
      </c>
    </row>
    <row r="47" spans="1:2" x14ac:dyDescent="0.3">
      <c r="A47" s="53">
        <v>45259</v>
      </c>
      <c r="B47" s="42">
        <v>14</v>
      </c>
    </row>
    <row r="48" spans="1:2" x14ac:dyDescent="0.3">
      <c r="A48" s="53">
        <v>45265</v>
      </c>
      <c r="B48" s="42">
        <v>24</v>
      </c>
    </row>
    <row r="49" spans="1:2" x14ac:dyDescent="0.3">
      <c r="A49" s="43">
        <v>45273</v>
      </c>
      <c r="B49" s="48">
        <f>1/3</f>
        <v>0.33333333333333331</v>
      </c>
    </row>
    <row r="50" spans="1:2" x14ac:dyDescent="0.3">
      <c r="A50" s="43">
        <v>45301</v>
      </c>
      <c r="B50" s="48">
        <f>1/3</f>
        <v>0.33333333333333331</v>
      </c>
    </row>
    <row r="51" spans="1:2" x14ac:dyDescent="0.3">
      <c r="A51" s="53">
        <v>45301</v>
      </c>
      <c r="B51" s="42">
        <v>11</v>
      </c>
    </row>
    <row r="52" spans="1:2" x14ac:dyDescent="0.3">
      <c r="A52" s="53">
        <v>45308</v>
      </c>
      <c r="B52" s="42">
        <v>13</v>
      </c>
    </row>
    <row r="53" spans="1:2" x14ac:dyDescent="0.3">
      <c r="A53" s="53">
        <v>45314</v>
      </c>
      <c r="B53" s="42">
        <v>4</v>
      </c>
    </row>
    <row r="54" spans="1:2" x14ac:dyDescent="0.3">
      <c r="A54" s="53">
        <v>45321</v>
      </c>
      <c r="B54" s="42">
        <v>6</v>
      </c>
    </row>
    <row r="55" spans="1:2" x14ac:dyDescent="0.3">
      <c r="A55" s="53">
        <v>45328</v>
      </c>
      <c r="B55" s="42">
        <v>7</v>
      </c>
    </row>
    <row r="56" spans="1:2" x14ac:dyDescent="0.3">
      <c r="A56" s="53">
        <v>45335</v>
      </c>
      <c r="B56" s="42">
        <v>26</v>
      </c>
    </row>
    <row r="57" spans="1:2" x14ac:dyDescent="0.3">
      <c r="A57" s="43">
        <v>45342</v>
      </c>
      <c r="B57" s="48">
        <v>3</v>
      </c>
    </row>
    <row r="58" spans="1:2" x14ac:dyDescent="0.3">
      <c r="A58" s="53">
        <v>45342</v>
      </c>
      <c r="B58" s="47">
        <v>2</v>
      </c>
    </row>
    <row r="59" spans="1:2" x14ac:dyDescent="0.3">
      <c r="A59" s="53">
        <v>45349</v>
      </c>
      <c r="B59" s="42">
        <v>4</v>
      </c>
    </row>
    <row r="60" spans="1:2" x14ac:dyDescent="0.3">
      <c r="A60" s="53">
        <v>45356</v>
      </c>
      <c r="B60" s="42">
        <v>3</v>
      </c>
    </row>
    <row r="61" spans="1:2" x14ac:dyDescent="0.3">
      <c r="A61" s="43">
        <v>45357</v>
      </c>
      <c r="B61" s="48">
        <v>20</v>
      </c>
    </row>
    <row r="62" spans="1:2" x14ac:dyDescent="0.3">
      <c r="A62" s="53">
        <v>45363</v>
      </c>
      <c r="B62" s="42">
        <v>80</v>
      </c>
    </row>
    <row r="63" spans="1:2" x14ac:dyDescent="0.3">
      <c r="A63" s="53">
        <v>45371</v>
      </c>
      <c r="B63" s="42">
        <f>1/3</f>
        <v>0.33333333333333331</v>
      </c>
    </row>
    <row r="64" spans="1:2" x14ac:dyDescent="0.3">
      <c r="A64" s="53">
        <v>45377</v>
      </c>
      <c r="B64" s="42">
        <f>150*3</f>
        <v>450</v>
      </c>
    </row>
    <row r="65" spans="1:2" x14ac:dyDescent="0.3">
      <c r="A65" s="53">
        <v>45384</v>
      </c>
      <c r="B65" s="42">
        <v>7</v>
      </c>
    </row>
    <row r="66" spans="1:2" x14ac:dyDescent="0.3">
      <c r="A66" s="43">
        <v>45386</v>
      </c>
      <c r="B66" s="48">
        <v>10</v>
      </c>
    </row>
    <row r="67" spans="1:2" x14ac:dyDescent="0.3">
      <c r="A67" s="53">
        <v>45391</v>
      </c>
      <c r="B67" s="42">
        <f>150*3</f>
        <v>450</v>
      </c>
    </row>
    <row r="68" spans="1:2" x14ac:dyDescent="0.3">
      <c r="A68" s="53">
        <v>45399</v>
      </c>
      <c r="B68" s="42">
        <v>39</v>
      </c>
    </row>
    <row r="69" spans="1:2" x14ac:dyDescent="0.3">
      <c r="A69" s="53">
        <v>45405</v>
      </c>
      <c r="B69" s="42">
        <v>78</v>
      </c>
    </row>
    <row r="70" spans="1:2" x14ac:dyDescent="0.3">
      <c r="A70" s="43">
        <v>45414</v>
      </c>
      <c r="B70" s="48">
        <v>73</v>
      </c>
    </row>
    <row r="71" spans="1:2" x14ac:dyDescent="0.3">
      <c r="A71" s="53">
        <v>45419</v>
      </c>
      <c r="B71" s="42">
        <v>73</v>
      </c>
    </row>
    <row r="72" spans="1:2" x14ac:dyDescent="0.3">
      <c r="A72" s="53">
        <v>45426</v>
      </c>
      <c r="B72" s="42">
        <v>14</v>
      </c>
    </row>
    <row r="73" spans="1:2" x14ac:dyDescent="0.3">
      <c r="A73" s="53">
        <v>45433</v>
      </c>
      <c r="B73" s="42">
        <f>150*3</f>
        <v>450</v>
      </c>
    </row>
    <row r="74" spans="1:2" x14ac:dyDescent="0.3">
      <c r="A74" s="53">
        <v>45440</v>
      </c>
      <c r="B74" s="42">
        <v>103</v>
      </c>
    </row>
    <row r="75" spans="1:2" x14ac:dyDescent="0.3">
      <c r="A75" s="53">
        <v>45447</v>
      </c>
      <c r="B75" s="42">
        <f>150*3</f>
        <v>450</v>
      </c>
    </row>
    <row r="76" spans="1:2" x14ac:dyDescent="0.3">
      <c r="A76" s="53">
        <v>45454</v>
      </c>
      <c r="B76" s="42">
        <v>14</v>
      </c>
    </row>
    <row r="77" spans="1:2" x14ac:dyDescent="0.3">
      <c r="A77" s="53">
        <v>45461</v>
      </c>
      <c r="B77" s="42">
        <v>37</v>
      </c>
    </row>
    <row r="78" spans="1:2" x14ac:dyDescent="0.3">
      <c r="A78" s="53">
        <v>45468</v>
      </c>
      <c r="B78" s="42">
        <v>6</v>
      </c>
    </row>
    <row r="79" spans="1:2" x14ac:dyDescent="0.3">
      <c r="A79" s="43">
        <v>45469</v>
      </c>
      <c r="B79" s="48">
        <v>1</v>
      </c>
    </row>
    <row r="80" spans="1:2" x14ac:dyDescent="0.3">
      <c r="A80" s="53">
        <v>45475</v>
      </c>
      <c r="B80" s="42">
        <f>150*3</f>
        <v>450</v>
      </c>
    </row>
    <row r="81" spans="1:2" x14ac:dyDescent="0.3">
      <c r="A81" s="53">
        <v>45482</v>
      </c>
      <c r="B81" s="42">
        <f>150*3</f>
        <v>450</v>
      </c>
    </row>
    <row r="82" spans="1:2" x14ac:dyDescent="0.3">
      <c r="A82" s="53">
        <v>45489</v>
      </c>
      <c r="B82" s="42">
        <f>150*3</f>
        <v>450</v>
      </c>
    </row>
    <row r="83" spans="1:2" x14ac:dyDescent="0.3">
      <c r="A83" s="53">
        <v>45496</v>
      </c>
      <c r="B83" s="42">
        <v>12</v>
      </c>
    </row>
    <row r="84" spans="1:2" x14ac:dyDescent="0.3">
      <c r="A84" s="53">
        <v>45503</v>
      </c>
      <c r="B84" s="42">
        <v>19</v>
      </c>
    </row>
    <row r="85" spans="1:2" x14ac:dyDescent="0.3">
      <c r="A85" s="53">
        <v>45510</v>
      </c>
      <c r="B85" s="42">
        <v>19</v>
      </c>
    </row>
    <row r="86" spans="1:2" x14ac:dyDescent="0.3">
      <c r="A86" s="53">
        <v>45516</v>
      </c>
      <c r="B86" s="42">
        <f>150*3</f>
        <v>450</v>
      </c>
    </row>
    <row r="87" spans="1:2" x14ac:dyDescent="0.3">
      <c r="A87" s="53">
        <v>45524</v>
      </c>
      <c r="B87" s="42">
        <v>21</v>
      </c>
    </row>
    <row r="88" spans="1:2" x14ac:dyDescent="0.3">
      <c r="A88" s="43">
        <v>45525</v>
      </c>
      <c r="B88" s="48">
        <v>52</v>
      </c>
    </row>
    <row r="89" spans="1:2" x14ac:dyDescent="0.3">
      <c r="A89" s="53">
        <v>45531</v>
      </c>
      <c r="B89" s="42">
        <v>0</v>
      </c>
    </row>
    <row r="90" spans="1:2" x14ac:dyDescent="0.3">
      <c r="A90" s="53">
        <v>45538</v>
      </c>
      <c r="B90" s="42">
        <v>0</v>
      </c>
    </row>
    <row r="91" spans="1:2" x14ac:dyDescent="0.3">
      <c r="A91" s="43">
        <v>45539</v>
      </c>
      <c r="B91" s="48">
        <v>52</v>
      </c>
    </row>
    <row r="92" spans="1:2" x14ac:dyDescent="0.3">
      <c r="A92" s="53">
        <v>45546</v>
      </c>
      <c r="B92" s="42">
        <f>150*3</f>
        <v>450</v>
      </c>
    </row>
    <row r="93" spans="1:2" x14ac:dyDescent="0.3">
      <c r="A93" s="43">
        <v>45553</v>
      </c>
      <c r="B93" s="48">
        <v>109</v>
      </c>
    </row>
    <row r="94" spans="1:2" x14ac:dyDescent="0.3">
      <c r="A94" s="53">
        <v>45553</v>
      </c>
      <c r="B94" s="42">
        <v>51</v>
      </c>
    </row>
    <row r="95" spans="1:2" x14ac:dyDescent="0.3">
      <c r="A95" s="53">
        <v>45561</v>
      </c>
      <c r="B95" s="42">
        <v>1</v>
      </c>
    </row>
    <row r="96" spans="1:2" x14ac:dyDescent="0.3">
      <c r="A96" s="53">
        <v>45566</v>
      </c>
      <c r="B96" s="42">
        <v>0</v>
      </c>
    </row>
    <row r="97" spans="1:2" x14ac:dyDescent="0.3">
      <c r="A97" s="43">
        <v>45567</v>
      </c>
      <c r="B97" s="48">
        <v>108</v>
      </c>
    </row>
    <row r="98" spans="1:2" x14ac:dyDescent="0.3">
      <c r="A98" s="53">
        <v>45574</v>
      </c>
      <c r="B98" s="42">
        <v>0</v>
      </c>
    </row>
    <row r="99" spans="1:2" x14ac:dyDescent="0.3">
      <c r="A99" s="43">
        <v>45581</v>
      </c>
      <c r="B99" s="48">
        <v>30</v>
      </c>
    </row>
    <row r="100" spans="1:2" x14ac:dyDescent="0.3">
      <c r="A100" s="53">
        <v>45581</v>
      </c>
      <c r="B100" s="42">
        <v>0</v>
      </c>
    </row>
    <row r="101" spans="1:2" x14ac:dyDescent="0.3">
      <c r="A101" s="53">
        <v>45582</v>
      </c>
      <c r="B101" s="42">
        <f>1/3</f>
        <v>0.33333333333333331</v>
      </c>
    </row>
    <row r="102" spans="1:2" x14ac:dyDescent="0.3">
      <c r="A102" s="53">
        <v>45587</v>
      </c>
      <c r="B102" s="42">
        <v>48</v>
      </c>
    </row>
    <row r="103" spans="1:2" x14ac:dyDescent="0.3">
      <c r="A103" s="53">
        <v>45594</v>
      </c>
      <c r="B103" s="42">
        <v>15</v>
      </c>
    </row>
    <row r="104" spans="1:2" x14ac:dyDescent="0.3">
      <c r="A104" s="43">
        <v>45595</v>
      </c>
      <c r="B104" s="48">
        <v>10</v>
      </c>
    </row>
    <row r="105" spans="1:2" x14ac:dyDescent="0.3">
      <c r="A105" s="53">
        <v>45601</v>
      </c>
      <c r="B105" s="42">
        <f>150*3</f>
        <v>450</v>
      </c>
    </row>
    <row r="106" spans="1:2" x14ac:dyDescent="0.3">
      <c r="A106" s="53">
        <v>45604</v>
      </c>
      <c r="B106" s="42">
        <f>1/3</f>
        <v>0.33333333333333331</v>
      </c>
    </row>
    <row r="107" spans="1:2" x14ac:dyDescent="0.3">
      <c r="A107" s="53">
        <v>45608</v>
      </c>
      <c r="B107" s="42">
        <v>5</v>
      </c>
    </row>
    <row r="108" spans="1:2" x14ac:dyDescent="0.3">
      <c r="A108" s="43">
        <v>45609</v>
      </c>
      <c r="B108" s="48">
        <f>10/3</f>
        <v>3.3333333333333335</v>
      </c>
    </row>
    <row r="109" spans="1:2" x14ac:dyDescent="0.3">
      <c r="A109" s="52">
        <v>45618</v>
      </c>
      <c r="B109">
        <v>14</v>
      </c>
    </row>
    <row r="110" spans="1:2" x14ac:dyDescent="0.3">
      <c r="A110" s="52">
        <v>45624</v>
      </c>
      <c r="B110">
        <v>7</v>
      </c>
    </row>
    <row r="111" spans="1:2" x14ac:dyDescent="0.3">
      <c r="A111" s="52">
        <v>45632</v>
      </c>
      <c r="B111">
        <v>6</v>
      </c>
    </row>
    <row r="112" spans="1:2" x14ac:dyDescent="0.3">
      <c r="A112" s="52">
        <v>45638</v>
      </c>
      <c r="B112">
        <v>36</v>
      </c>
    </row>
    <row r="113" spans="1:2" x14ac:dyDescent="0.3">
      <c r="A113" s="52">
        <v>45646</v>
      </c>
      <c r="B113">
        <v>12</v>
      </c>
    </row>
    <row r="114" spans="1:2" x14ac:dyDescent="0.3">
      <c r="A114" s="52">
        <v>45653</v>
      </c>
      <c r="B114">
        <v>46</v>
      </c>
    </row>
    <row r="115" spans="1:2" x14ac:dyDescent="0.3">
      <c r="A115" s="52">
        <v>45660</v>
      </c>
      <c r="B115">
        <v>31</v>
      </c>
    </row>
    <row r="116" spans="1:2" x14ac:dyDescent="0.3">
      <c r="A116" s="60">
        <v>45666</v>
      </c>
      <c r="B116" s="61">
        <v>32</v>
      </c>
    </row>
    <row r="117" spans="1:2" x14ac:dyDescent="0.3">
      <c r="A117" s="60">
        <v>45674</v>
      </c>
      <c r="B117" s="61">
        <v>7</v>
      </c>
    </row>
    <row r="118" spans="1:2" x14ac:dyDescent="0.3">
      <c r="A118" s="60">
        <v>45680</v>
      </c>
      <c r="B118" s="61">
        <v>52</v>
      </c>
    </row>
    <row r="119" spans="1:2" x14ac:dyDescent="0.3">
      <c r="A119" s="60">
        <v>45688</v>
      </c>
      <c r="B119" s="61">
        <v>31</v>
      </c>
    </row>
    <row r="120" spans="1:2" x14ac:dyDescent="0.3">
      <c r="A120" s="60">
        <v>45694</v>
      </c>
      <c r="B120" s="61">
        <v>44</v>
      </c>
    </row>
    <row r="121" spans="1:2" x14ac:dyDescent="0.3">
      <c r="A121" s="60">
        <v>45702</v>
      </c>
      <c r="B121" s="61">
        <v>11</v>
      </c>
    </row>
    <row r="122" spans="1:2" x14ac:dyDescent="0.3">
      <c r="A122" s="60">
        <v>45708</v>
      </c>
      <c r="B122" s="61">
        <v>21</v>
      </c>
    </row>
    <row r="123" spans="1:2" x14ac:dyDescent="0.3">
      <c r="A123" s="60">
        <v>45716</v>
      </c>
      <c r="B123" s="61">
        <v>44</v>
      </c>
    </row>
    <row r="124" spans="1:2" x14ac:dyDescent="0.3">
      <c r="A124" s="60">
        <v>45722</v>
      </c>
      <c r="B124" s="61">
        <v>28</v>
      </c>
    </row>
    <row r="125" spans="1:2" x14ac:dyDescent="0.3">
      <c r="A125" s="60">
        <v>45729</v>
      </c>
      <c r="B125" s="61">
        <v>45</v>
      </c>
    </row>
    <row r="126" spans="1:2" x14ac:dyDescent="0.3">
      <c r="A126" s="43"/>
      <c r="B126" s="48"/>
    </row>
    <row r="127" spans="1:2" x14ac:dyDescent="0.3">
      <c r="A127" s="43"/>
      <c r="B127" s="48"/>
    </row>
    <row r="128" spans="1:2" x14ac:dyDescent="0.3">
      <c r="A128" s="43"/>
      <c r="B128" s="48"/>
    </row>
    <row r="129" spans="1:2" x14ac:dyDescent="0.3">
      <c r="A129" s="43"/>
      <c r="B129" s="48"/>
    </row>
    <row r="130" spans="1:2" x14ac:dyDescent="0.3">
      <c r="A130" s="43"/>
      <c r="B130" s="48"/>
    </row>
    <row r="131" spans="1:2" x14ac:dyDescent="0.3">
      <c r="A131" s="43"/>
      <c r="B131" s="48"/>
    </row>
    <row r="132" spans="1:2" x14ac:dyDescent="0.3">
      <c r="A132" s="43"/>
      <c r="B132" s="48"/>
    </row>
    <row r="133" spans="1:2" x14ac:dyDescent="0.3">
      <c r="A133" s="43"/>
      <c r="B133" s="48"/>
    </row>
    <row r="134" spans="1:2" x14ac:dyDescent="0.3">
      <c r="A134" s="43"/>
      <c r="B134" s="48"/>
    </row>
    <row r="135" spans="1:2" x14ac:dyDescent="0.3">
      <c r="A135" s="43"/>
      <c r="B135" s="48"/>
    </row>
    <row r="136" spans="1:2" x14ac:dyDescent="0.3">
      <c r="A136" s="43"/>
      <c r="B136" s="48"/>
    </row>
    <row r="137" spans="1:2" x14ac:dyDescent="0.3">
      <c r="A137" s="43"/>
      <c r="B137" s="48"/>
    </row>
    <row r="138" spans="1:2" x14ac:dyDescent="0.3">
      <c r="A138" s="43"/>
      <c r="B138" s="48"/>
    </row>
    <row r="139" spans="1:2" x14ac:dyDescent="0.3">
      <c r="A139" s="43"/>
      <c r="B139" s="48"/>
    </row>
    <row r="140" spans="1:2" x14ac:dyDescent="0.3">
      <c r="A140" s="43"/>
      <c r="B140" s="48"/>
    </row>
    <row r="141" spans="1:2" x14ac:dyDescent="0.3">
      <c r="A141" s="43"/>
      <c r="B141" s="48"/>
    </row>
    <row r="142" spans="1:2" x14ac:dyDescent="0.3">
      <c r="A142" s="43"/>
      <c r="B142" s="48"/>
    </row>
    <row r="143" spans="1:2" x14ac:dyDescent="0.3">
      <c r="A143" s="43"/>
      <c r="B143" s="48"/>
    </row>
    <row r="144" spans="1:2" x14ac:dyDescent="0.3">
      <c r="A144" s="43"/>
      <c r="B144" s="48"/>
    </row>
    <row r="145" spans="1:2" x14ac:dyDescent="0.3">
      <c r="A145" s="45"/>
      <c r="B145" s="46"/>
    </row>
    <row r="146" spans="1:2" x14ac:dyDescent="0.3">
      <c r="A146" s="45"/>
      <c r="B146" s="46"/>
    </row>
    <row r="147" spans="1:2" x14ac:dyDescent="0.3">
      <c r="A147" s="45"/>
      <c r="B147" s="46"/>
    </row>
    <row r="148" spans="1:2" x14ac:dyDescent="0.3">
      <c r="A148" s="45"/>
      <c r="B148" s="46"/>
    </row>
    <row r="149" spans="1:2" x14ac:dyDescent="0.3">
      <c r="A149" s="45"/>
      <c r="B149" s="46"/>
    </row>
    <row r="150" spans="1:2" x14ac:dyDescent="0.3">
      <c r="A150" s="45"/>
      <c r="B150" s="46"/>
    </row>
    <row r="151" spans="1:2" x14ac:dyDescent="0.3">
      <c r="A151" s="45"/>
      <c r="B151" s="46"/>
    </row>
    <row r="152" spans="1:2" x14ac:dyDescent="0.3">
      <c r="A152" s="45"/>
      <c r="B152" s="46"/>
    </row>
    <row r="153" spans="1:2" x14ac:dyDescent="0.3">
      <c r="A153" s="50"/>
      <c r="B153" s="46"/>
    </row>
    <row r="154" spans="1:2" x14ac:dyDescent="0.3">
      <c r="A154" s="50"/>
      <c r="B154" s="46"/>
    </row>
    <row r="155" spans="1:2" x14ac:dyDescent="0.3">
      <c r="A155" s="50"/>
      <c r="B155" s="46"/>
    </row>
    <row r="156" spans="1:2" x14ac:dyDescent="0.3">
      <c r="A156" s="50"/>
      <c r="B156" s="46"/>
    </row>
    <row r="157" spans="1:2" x14ac:dyDescent="0.3">
      <c r="A157" s="50"/>
      <c r="B157" s="42"/>
    </row>
    <row r="158" spans="1:2" x14ac:dyDescent="0.3">
      <c r="A158" s="50"/>
      <c r="B158" s="46"/>
    </row>
  </sheetData>
  <sortState ref="A2:B125">
    <sortCondition ref="A1"/>
  </sortState>
  <conditionalFormatting sqref="B1:B1048576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53:B156 B158:B1048576 B1 B20:B77 B79:B130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DA72504-3688-4E4F-B9F8-4BA25ADC07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8C882C3-A760-4D3F-B8D8-E36E6A20A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2AE572C-13EC-4B7C-B545-A3220D5D3A2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2025-03-25T14:10:49Z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