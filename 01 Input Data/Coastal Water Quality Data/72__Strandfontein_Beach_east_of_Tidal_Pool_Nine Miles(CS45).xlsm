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coli'!$A$1:$B$12</definedName>
    <definedName name="_xlnm._FilterDatabase" localSheetId="2" hidden="1">'Faecal streptococci'!$A$1:$B$36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3" l="1"/>
  <c r="B15" i="3"/>
  <c r="B14" i="3"/>
  <c r="B11" i="3"/>
  <c r="B9" i="3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<sst xmlns="http://schemas.openxmlformats.org/spreadsheetml/2006/main" count="60" uniqueCount="28">
  <si>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</si>
  <si>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</si>
  <si>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</si>
  <si>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</si>
  <si>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</si>
  <si>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</si>
  <si>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</si>
  <si>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</si>
  <si>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</si>
  <si>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</si>
  <si>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</si>
  <si>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</si>
  <si>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</si>
  <si>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</si>
  <si>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</si>
  <si>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</si>
  <si>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</si>
  <si>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Sufficient</t>
  </si>
  <si>
    <t>Excellent</t>
  </si>
  <si>
    <t>Muizenberg and Sunrise Beach</t>
  </si>
  <si>
    <t>Not Enough Data</t>
  </si>
  <si>
    <t>Strandfontein East 9 Miles</t>
  </si>
  <si>
    <t>1/-</t>
  </si>
  <si>
    <t>271/50</t>
  </si>
  <si>
    <t>95/-</t>
  </si>
  <si>
    <t>502/146</t>
  </si>
  <si>
    <t>374/95</t>
  </si>
  <si>
    <t>383/120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</si>
</sst>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0D0EC"/>
        <bgColor indexed="64"/>
      </patternFill>
    </fill>
    <fill>
      <patternFill patternType="solid">
        <fgColor rgb="FFE1F2FA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>
      <alignment horizontal="center" vertical="center" wrapText="1"/>
    </xf>
    <xf numFmtId="0" fontId="6" fillId="6" borderId="7" applyProtection="0">
      <alignment horizontal="center" vertical="center" wrapText="1"/>
    </xf>
  </cellStyleXfs>
  <cellXfs count="53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66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66" fontId="0" fillId="0" borderId="0" xfId="0" applyNumberFormat="1" applyFont="1" applyAlignment="1">
      <alignment horizontal="left"/>
    </xf>
    <xf numFmtId="0" fontId="0" fillId="4" borderId="3" xfId="0" applyFill="1" applyBorder="1" applyProtection="1">
      <protection locked="0"/>
    </xf>
    <xf numFmtId="0" fontId="2" fillId="0" borderId="0" xfId="0" applyNumberFormat="1" applyFont="1" applyAlignment="1">
      <alignment horizontal="left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2"/>
    <cellStyle name="Normal" xfId="0" builtinId="0"/>
    <cellStyle name="Normal blue cell" xfId="3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topLeftCell="C1" zoomScaleNormal="100" workbookViewId="0">
      <selection activeCell="I23" sqref="I23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49" t="s">
        <v>21</v>
      </c>
      <c r="D3" s="49"/>
      <c r="E3" s="49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49"/>
      <c r="D4" s="49"/>
      <c r="E4" s="49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0" t="s">
        <v>19</v>
      </c>
      <c r="E6" s="50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0"/>
      <c r="E7" s="50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0"/>
      <c r="E8" s="50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0">
        <v>12</v>
      </c>
      <c r="E9" s="50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1">
        <f ca="1">TODAY()</f>
        <v>45741</v>
      </c>
      <c r="E11" s="51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1">
        <f>MAX(MAX('Escherichia coli'!A:A),MAX('Faecal streptococci'!A:A))</f>
        <v>45728</v>
      </c>
      <c r="E12" s="51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2">
        <f ca="1">YEAR(D11)+(MONTH(D11)&gt;=D9)</f>
        <v>2025</v>
      </c>
      <c r="E13" s="52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1" t="str">
        <f ca="1">CONCATENATE(TEXT(DATE(D13-1,D9,1), "yyyy/mm/dd")," - ",TEXT(D11,"yyyy/mm/dd"))</f>
        <v>2024/12/01 - 2025/03/25</v>
      </c>
      <c r="E14" s="51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1" t="str">
        <f ca="1">CONCATENATE(TEXT(DATE(D13-5,D9,1), "yyyy/mm/dd")," - ",TEXT(D11,"yyyy/mm/dd"))</f>
        <v>2020/12/01 - 2025/03/25</v>
      </c>
      <c r="E15" s="51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20</v>
      </c>
      <c r="E18" s="26"/>
      <c r="F18" s="22" t="s">
        <v>17</v>
      </c>
      <c r="G18" s="26" t="s">
        <v>25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18</v>
      </c>
      <c r="E19" s="39" t="s">
        <v>22</v>
      </c>
      <c r="F19" s="22" t="s">
        <v>17</v>
      </c>
      <c r="G19" s="39" t="s">
        <v>26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18</v>
      </c>
      <c r="E20" s="39" t="s">
        <v>22</v>
      </c>
      <c r="F20" s="22" t="s">
        <v>17</v>
      </c>
      <c r="G20" s="39" t="s">
        <v>27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18</v>
      </c>
      <c r="E21" s="39" t="s">
        <v>22</v>
      </c>
      <c r="F21" s="22" t="s">
        <v>18</v>
      </c>
      <c r="G21" s="39" t="s">
        <v>24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4">
        <v>2025</v>
      </c>
      <c r="D22" s="7" t="s">
        <v>20</v>
      </c>
      <c r="E22" s="39"/>
      <c r="F22" s="22" t="s">
        <v>17</v>
      </c>
      <c r="G22" s="39" t="s">
        <v>25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20">
        <v>2024</v>
      </c>
      <c r="D23" s="7" t="s">
        <v>20</v>
      </c>
      <c r="E23" s="39"/>
      <c r="F23" s="22" t="s">
        <v>17</v>
      </c>
      <c r="G23" s="39" t="s">
        <v>23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20">
        <v>2023</v>
      </c>
      <c r="D24" s="7" t="s">
        <v>20</v>
      </c>
      <c r="E24" s="39"/>
      <c r="F24" s="22" t="s">
        <v>20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2019</v>
      </c>
      <c r="D25" s="7" t="s">
        <v>20</v>
      </c>
      <c r="E25" s="39"/>
      <c r="F25" s="22" t="s">
        <v>20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2018</v>
      </c>
      <c r="D26" s="3" t="s">
        <v>20</v>
      </c>
      <c r="E26" s="26"/>
      <c r="F26" s="23" t="s">
        <v>20</v>
      </c>
      <c r="G26" s="26"/>
      <c r="H26" s="19"/>
      <c r="I26" s="27"/>
      <c r="J26" s="4"/>
    </row>
    <row r="27" spans="1:13" s="3" customFormat="1" x14ac:dyDescent="0.25">
      <c r="A27" s="7"/>
      <c r="B27" s="7"/>
      <c r="C27" s="15">
        <v>2017</v>
      </c>
      <c r="D27" s="22" t="s">
        <v>20</v>
      </c>
      <c r="E27" s="7"/>
      <c r="F27" s="24" t="s">
        <v>20</v>
      </c>
      <c r="G27" s="19"/>
      <c r="H27" s="19"/>
      <c r="I27" s="27"/>
      <c r="J27" s="4"/>
    </row>
    <row r="28" spans="1:13" s="3" customFormat="1" x14ac:dyDescent="0.25">
      <c r="A28" s="7"/>
      <c r="B28" s="7"/>
      <c r="C28" s="15">
        <v>2016</v>
      </c>
      <c r="D28" s="22" t="s">
        <v>20</v>
      </c>
      <c r="E28" s="7"/>
      <c r="F28" s="24" t="s">
        <v>20</v>
      </c>
      <c r="G28" s="19"/>
      <c r="H28" s="19"/>
      <c r="I28" s="27"/>
      <c r="J28" s="4"/>
    </row>
    <row r="29" spans="1:13" s="3" customFormat="1" x14ac:dyDescent="0.25">
      <c r="A29" s="7"/>
      <c r="B29" s="7"/>
      <c r="C29" s="15">
        <v>2015</v>
      </c>
      <c r="D29" s="22" t="s">
        <v>20</v>
      </c>
      <c r="E29" s="7"/>
      <c r="F29" s="24" t="s">
        <v>20</v>
      </c>
      <c r="G29" s="19"/>
      <c r="H29" s="19"/>
      <c r="I29" s="27"/>
      <c r="J29" s="4"/>
    </row>
    <row r="30" spans="1:13" s="3" customFormat="1" x14ac:dyDescent="0.25">
      <c r="A30" s="7"/>
      <c r="B30" s="7"/>
      <c r="C30" s="15">
        <v>2014</v>
      </c>
      <c r="D30" s="22" t="s">
        <v>20</v>
      </c>
      <c r="E30" s="7"/>
      <c r="F30" s="24" t="s">
        <v>20</v>
      </c>
      <c r="G30" s="19"/>
      <c r="H30" s="19"/>
      <c r="I30" s="27"/>
      <c r="J30" s="4"/>
    </row>
    <row r="31" spans="1:13" s="3" customFormat="1" x14ac:dyDescent="0.25">
      <c r="A31" s="7"/>
      <c r="B31" s="7"/>
      <c r="C31" s="17">
        <v>1899</v>
      </c>
      <c r="D31" s="22" t="s">
        <v>20</v>
      </c>
      <c r="E31" s="7"/>
      <c r="F31" s="24" t="s">
        <v>20</v>
      </c>
      <c r="G31" s="19"/>
      <c r="H31" s="19"/>
      <c r="I31" s="27"/>
      <c r="J31" s="4"/>
    </row>
    <row r="32" spans="1:13" s="3" customFormat="1" x14ac:dyDescent="0.25">
      <c r="A32" s="7"/>
      <c r="B32" s="7"/>
      <c r="C32" s="17">
        <v>1899</v>
      </c>
      <c r="D32" s="22" t="s">
        <v>20</v>
      </c>
      <c r="E32" s="7"/>
      <c r="F32" s="24" t="s">
        <v>20</v>
      </c>
      <c r="G32" s="19"/>
      <c r="H32" s="19"/>
      <c r="I32" s="27"/>
      <c r="J32" s="4"/>
    </row>
    <row r="33" spans="1:10" s="3" customFormat="1" x14ac:dyDescent="0.25">
      <c r="A33" s="7"/>
      <c r="B33" s="7"/>
      <c r="C33" s="15"/>
      <c r="D33" s="22"/>
      <c r="E33" s="7"/>
      <c r="F33" s="24"/>
      <c r="G33" s="19"/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2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82"/>
  <sheetViews>
    <sheetView workbookViewId="0">
      <pane ySplit="1" topLeftCell="A2" activePane="bottomLeft" state="frozen"/>
      <selection pane="bottomLeft" activeCell="C29" sqref="C29"/>
    </sheetView>
  </sheetViews>
  <sheetFormatPr defaultRowHeight="15" x14ac:dyDescent="0.25"/>
  <cols>
    <col min="1" max="1" width="38.42578125" style="43" customWidth="1"/>
    <col min="2" max="2" width="12" style="46" bestFit="1" customWidth="1"/>
  </cols>
  <sheetData>
    <row r="1" spans="1:2" s="1" customFormat="1" x14ac:dyDescent="0.25">
      <c r="A1" s="41" t="s">
        <v>0</v>
      </c>
      <c r="B1" s="45" t="s">
        <v>1</v>
      </c>
    </row>
    <row r="2" spans="1:2" s="1" customFormat="1" x14ac:dyDescent="0.25">
      <c r="A2" s="48">
        <v>45616</v>
      </c>
      <c r="B2" s="1">
        <v>1</v>
      </c>
    </row>
    <row r="3" spans="1:2" s="1" customFormat="1" x14ac:dyDescent="0.25">
      <c r="A3" s="48">
        <v>45623</v>
      </c>
      <c r="B3" s="1">
        <v>1</v>
      </c>
    </row>
    <row r="4" spans="1:2" s="1" customFormat="1" x14ac:dyDescent="0.25">
      <c r="A4" s="48">
        <v>45630</v>
      </c>
      <c r="B4" s="1">
        <v>1</v>
      </c>
    </row>
    <row r="5" spans="1:2" s="1" customFormat="1" x14ac:dyDescent="0.25">
      <c r="A5" s="48">
        <v>45637</v>
      </c>
      <c r="B5" s="1">
        <v>1</v>
      </c>
    </row>
    <row r="6" spans="1:2" s="1" customFormat="1" x14ac:dyDescent="0.25">
      <c r="A6" s="48">
        <v>45646</v>
      </c>
      <c r="B6" s="1">
        <v>1</v>
      </c>
    </row>
    <row r="7" spans="1:2" s="1" customFormat="1" x14ac:dyDescent="0.25">
      <c r="A7" s="48">
        <v>45650</v>
      </c>
      <c r="B7" s="1">
        <v>1</v>
      </c>
    </row>
    <row r="8" spans="1:2" s="1" customFormat="1" x14ac:dyDescent="0.25">
      <c r="A8" s="48">
        <v>45659</v>
      </c>
      <c r="B8" s="1">
        <v>1</v>
      </c>
    </row>
    <row r="9" spans="1:2" s="1" customFormat="1" x14ac:dyDescent="0.25">
      <c r="A9" s="48">
        <v>45665</v>
      </c>
      <c r="B9" s="1">
        <v>1</v>
      </c>
    </row>
    <row r="10" spans="1:2" s="1" customFormat="1" x14ac:dyDescent="0.25">
      <c r="A10" s="48">
        <v>45672</v>
      </c>
      <c r="B10" s="1">
        <v>1</v>
      </c>
    </row>
    <row r="11" spans="1:2" s="1" customFormat="1" x14ac:dyDescent="0.25">
      <c r="A11" s="48">
        <v>45679</v>
      </c>
      <c r="B11" s="1">
        <v>1</v>
      </c>
    </row>
    <row r="12" spans="1:2" s="1" customFormat="1" x14ac:dyDescent="0.25">
      <c r="A12" s="48">
        <v>45686</v>
      </c>
      <c r="B12" s="1">
        <v>1</v>
      </c>
    </row>
    <row r="13" spans="1:2" s="1" customFormat="1" x14ac:dyDescent="0.25"/>
    <row r="14" spans="1:2" s="1" customFormat="1" x14ac:dyDescent="0.25"/>
    <row r="15" spans="1:2" s="1" customFormat="1" x14ac:dyDescent="0.25"/>
    <row r="16" spans="1:2" s="1" customFormat="1" x14ac:dyDescent="0.25"/>
    <row r="17" spans="1:2" s="1" customFormat="1" x14ac:dyDescent="0.25"/>
    <row r="18" spans="1:2" s="1" customFormat="1" x14ac:dyDescent="0.25"/>
    <row r="19" spans="1:2" s="1" customFormat="1" x14ac:dyDescent="0.25"/>
    <row r="20" spans="1:2" s="1" customFormat="1" x14ac:dyDescent="0.25"/>
    <row r="21" spans="1:2" s="1" customFormat="1" x14ac:dyDescent="0.25"/>
    <row r="22" spans="1:2" s="1" customFormat="1" x14ac:dyDescent="0.25"/>
    <row r="23" spans="1:2" s="1" customFormat="1" x14ac:dyDescent="0.25"/>
    <row r="24" spans="1:2" s="1" customFormat="1" x14ac:dyDescent="0.25"/>
    <row r="25" spans="1:2" s="1" customFormat="1" x14ac:dyDescent="0.25"/>
    <row r="26" spans="1:2" x14ac:dyDescent="0.25">
      <c r="A26"/>
      <c r="B26"/>
    </row>
    <row r="27" spans="1:2" x14ac:dyDescent="0.25">
      <c r="A27"/>
      <c r="B27"/>
    </row>
    <row r="28" spans="1:2" x14ac:dyDescent="0.25">
      <c r="A28"/>
      <c r="B28"/>
    </row>
    <row r="29" spans="1:2" x14ac:dyDescent="0.25">
      <c r="A29"/>
      <c r="B29"/>
    </row>
    <row r="30" spans="1:2" x14ac:dyDescent="0.25">
      <c r="A30"/>
      <c r="B30"/>
    </row>
    <row r="31" spans="1:2" x14ac:dyDescent="0.25">
      <c r="A31"/>
      <c r="B31"/>
    </row>
    <row r="32" spans="1:2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</sheetData>
  <sortState ref="A2:B12">
    <sortCondition ref="A1"/>
  </sortState>
  <dataValidations count="1">
    <dataValidation type="decimal" operator="greaterThan" allowBlank="1" showInputMessage="1" showErrorMessage="1" errorTitle="Measurement value" error="Only enter values larger than 0. If measurement value equals 0, substitute with 0.333333333." sqref="B1 B283:B1048576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71"/>
  <sheetViews>
    <sheetView workbookViewId="0">
      <pane ySplit="1" topLeftCell="A17" activePane="bottomLeft" state="frozen"/>
      <selection pane="bottomLeft" activeCell="B37" sqref="B37"/>
    </sheetView>
  </sheetViews>
  <sheetFormatPr defaultRowHeight="15" x14ac:dyDescent="0.25"/>
  <cols>
    <col min="1" max="1" width="32.28515625" style="47" bestFit="1" customWidth="1"/>
    <col min="2" max="2" width="12" style="42" bestFit="1" customWidth="1"/>
  </cols>
  <sheetData>
    <row r="1" spans="1:2" s="1" customFormat="1" x14ac:dyDescent="0.25">
      <c r="A1" s="47" t="s">
        <v>0</v>
      </c>
      <c r="B1" s="42" t="s">
        <v>2</v>
      </c>
    </row>
    <row r="2" spans="1:2" s="1" customFormat="1" x14ac:dyDescent="0.25">
      <c r="A2" s="47">
        <v>45258</v>
      </c>
      <c r="B2" s="42">
        <v>77</v>
      </c>
    </row>
    <row r="3" spans="1:2" s="1" customFormat="1" x14ac:dyDescent="0.25">
      <c r="A3" s="47">
        <v>45267</v>
      </c>
      <c r="B3" s="42">
        <v>2</v>
      </c>
    </row>
    <row r="4" spans="1:2" s="1" customFormat="1" x14ac:dyDescent="0.25">
      <c r="A4" s="47">
        <v>45273</v>
      </c>
      <c r="B4" s="42">
        <v>4</v>
      </c>
    </row>
    <row r="5" spans="1:2" s="1" customFormat="1" x14ac:dyDescent="0.25">
      <c r="A5" s="47">
        <v>45279</v>
      </c>
      <c r="B5" s="42">
        <v>4</v>
      </c>
    </row>
    <row r="6" spans="1:2" s="1" customFormat="1" x14ac:dyDescent="0.25">
      <c r="A6" s="47">
        <v>45295</v>
      </c>
      <c r="B6" s="42">
        <v>7</v>
      </c>
    </row>
    <row r="7" spans="1:2" s="1" customFormat="1" x14ac:dyDescent="0.25">
      <c r="A7" s="47">
        <v>45300</v>
      </c>
      <c r="B7" s="42">
        <v>6</v>
      </c>
    </row>
    <row r="8" spans="1:2" s="1" customFormat="1" x14ac:dyDescent="0.25">
      <c r="A8" s="47">
        <v>45307</v>
      </c>
      <c r="B8" s="42">
        <v>10</v>
      </c>
    </row>
    <row r="9" spans="1:2" s="1" customFormat="1" x14ac:dyDescent="0.25">
      <c r="A9" s="47">
        <v>45314</v>
      </c>
      <c r="B9" s="42">
        <f>1/3</f>
        <v>0.33333333333333331</v>
      </c>
    </row>
    <row r="10" spans="1:2" s="1" customFormat="1" x14ac:dyDescent="0.25">
      <c r="A10" s="47">
        <v>45321</v>
      </c>
      <c r="B10" s="42">
        <v>47</v>
      </c>
    </row>
    <row r="11" spans="1:2" s="1" customFormat="1" x14ac:dyDescent="0.25">
      <c r="A11" s="47">
        <v>45328</v>
      </c>
      <c r="B11" s="42">
        <f>1/3</f>
        <v>0.33333333333333331</v>
      </c>
    </row>
    <row r="12" spans="1:2" s="1" customFormat="1" x14ac:dyDescent="0.25">
      <c r="A12" s="47">
        <v>45335</v>
      </c>
      <c r="B12" s="42">
        <v>16</v>
      </c>
    </row>
    <row r="13" spans="1:2" s="1" customFormat="1" x14ac:dyDescent="0.25">
      <c r="A13" s="47">
        <v>45342</v>
      </c>
      <c r="B13" s="42">
        <v>7</v>
      </c>
    </row>
    <row r="14" spans="1:2" s="1" customFormat="1" x14ac:dyDescent="0.25">
      <c r="A14" s="47">
        <v>45349</v>
      </c>
      <c r="B14" s="42">
        <f>150*3</f>
        <v>450</v>
      </c>
    </row>
    <row r="15" spans="1:2" s="1" customFormat="1" x14ac:dyDescent="0.25">
      <c r="A15" s="47">
        <v>45355</v>
      </c>
      <c r="B15" s="42">
        <f>1/3</f>
        <v>0.33333333333333331</v>
      </c>
    </row>
    <row r="16" spans="1:2" s="1" customFormat="1" x14ac:dyDescent="0.25">
      <c r="A16" s="47">
        <v>45356</v>
      </c>
      <c r="B16" s="42">
        <v>14</v>
      </c>
    </row>
    <row r="17" spans="1:2" s="1" customFormat="1" x14ac:dyDescent="0.25">
      <c r="A17" s="47">
        <v>45369</v>
      </c>
      <c r="B17" s="42">
        <v>52</v>
      </c>
    </row>
    <row r="18" spans="1:2" s="1" customFormat="1" x14ac:dyDescent="0.25">
      <c r="A18" s="47">
        <v>45370</v>
      </c>
      <c r="B18" s="42">
        <v>45</v>
      </c>
    </row>
    <row r="19" spans="1:2" s="1" customFormat="1" x14ac:dyDescent="0.25">
      <c r="A19" s="47">
        <v>45378</v>
      </c>
      <c r="B19" s="42">
        <f>1/3</f>
        <v>0.33333333333333331</v>
      </c>
    </row>
    <row r="20" spans="1:2" s="1" customFormat="1" x14ac:dyDescent="0.25">
      <c r="A20" s="47">
        <v>45616</v>
      </c>
      <c r="B20" s="42">
        <v>30</v>
      </c>
    </row>
    <row r="21" spans="1:2" s="1" customFormat="1" x14ac:dyDescent="0.25">
      <c r="A21" s="47">
        <v>45623</v>
      </c>
      <c r="B21" s="42">
        <v>28</v>
      </c>
    </row>
    <row r="22" spans="1:2" s="1" customFormat="1" x14ac:dyDescent="0.25">
      <c r="A22" s="47">
        <v>45630</v>
      </c>
      <c r="B22" s="42">
        <v>36</v>
      </c>
    </row>
    <row r="23" spans="1:2" s="1" customFormat="1" x14ac:dyDescent="0.25">
      <c r="A23" s="47">
        <v>45637</v>
      </c>
      <c r="B23" s="42">
        <v>146</v>
      </c>
    </row>
    <row r="24" spans="1:2" s="1" customFormat="1" x14ac:dyDescent="0.25">
      <c r="A24" s="47">
        <v>45646</v>
      </c>
      <c r="B24" s="42">
        <v>620</v>
      </c>
    </row>
    <row r="25" spans="1:2" s="1" customFormat="1" x14ac:dyDescent="0.25">
      <c r="A25" s="47">
        <v>45650</v>
      </c>
      <c r="B25" s="42">
        <v>4</v>
      </c>
    </row>
    <row r="26" spans="1:2" x14ac:dyDescent="0.25">
      <c r="A26" s="47">
        <v>45659</v>
      </c>
      <c r="B26" s="42">
        <v>22</v>
      </c>
    </row>
    <row r="27" spans="1:2" x14ac:dyDescent="0.25">
      <c r="A27" s="47">
        <v>45665</v>
      </c>
      <c r="B27" s="42">
        <v>3</v>
      </c>
    </row>
    <row r="28" spans="1:2" x14ac:dyDescent="0.25">
      <c r="A28" s="47">
        <v>45672</v>
      </c>
      <c r="B28" s="42">
        <v>39</v>
      </c>
    </row>
    <row r="29" spans="1:2" x14ac:dyDescent="0.25">
      <c r="A29" s="47">
        <v>45679</v>
      </c>
      <c r="B29" s="42">
        <v>4</v>
      </c>
    </row>
    <row r="30" spans="1:2" x14ac:dyDescent="0.25">
      <c r="A30" s="47">
        <v>45686</v>
      </c>
      <c r="B30" s="42">
        <v>17</v>
      </c>
    </row>
    <row r="31" spans="1:2" x14ac:dyDescent="0.25">
      <c r="A31" s="47">
        <v>45693</v>
      </c>
      <c r="B31" s="42">
        <v>95</v>
      </c>
    </row>
    <row r="32" spans="1:2" x14ac:dyDescent="0.25">
      <c r="A32" s="47">
        <v>45700</v>
      </c>
      <c r="B32" s="42">
        <v>30</v>
      </c>
    </row>
    <row r="33" spans="1:2" x14ac:dyDescent="0.25">
      <c r="A33" s="47">
        <v>45707</v>
      </c>
      <c r="B33" s="42">
        <v>56</v>
      </c>
    </row>
    <row r="34" spans="1:2" x14ac:dyDescent="0.25">
      <c r="A34" s="47">
        <v>45714</v>
      </c>
      <c r="B34" s="42">
        <v>37</v>
      </c>
    </row>
    <row r="35" spans="1:2" x14ac:dyDescent="0.25">
      <c r="A35" s="47">
        <v>45721</v>
      </c>
      <c r="B35" s="42">
        <v>79</v>
      </c>
    </row>
    <row r="36" spans="1:2" x14ac:dyDescent="0.25">
      <c r="A36" s="47">
        <v>45728</v>
      </c>
      <c r="B36" s="42">
        <v>18</v>
      </c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</sheetData>
  <sortState ref="A2:B36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:B13 B20:B1048576">
      <formula1>0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CABAACE-A9BF-458C-949B-F6C6B10B14B5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terms/"/>
    <ds:schemaRef ds:uri="http://purl.org/dc/dcmitype/"/>
    <ds:schemaRef ds:uri="d602efd0-98a8-4264-882b-5af550c3ef7a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72EAB38-3C75-4ED4-96D8-5B2E9755C2A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2B2BD93-AA70-44C9-BA0B-4C103C6BD3B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GWESSELS</dc:creator>
  <cp:lastModifiedBy>Dikeledi Prudence Mothiba</cp:lastModifiedBy>
  <dcterms:created xsi:type="dcterms:W3CDTF">2020-07-02T09:36:36Z</dcterms:created>
  <dcterms:modified xsi:type="dcterms:W3CDTF">2025-03-25T11:12:16Z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