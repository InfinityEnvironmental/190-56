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coli'!$A$1:$B$261</definedName>
    <definedName name="_xlnm._FilterDatabase" localSheetId="2" hidden="1">'Faecal streptococci'!$A$1:$B$284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4" i="3" l="1"/>
  <c r="B271" i="3" l="1"/>
  <c r="B267" i="3"/>
  <c r="B248" i="3"/>
  <c r="B247" i="3"/>
  <c r="B229" i="3"/>
  <c r="B244" i="3"/>
  <c r="B243" i="3"/>
  <c r="B260" i="3" l="1"/>
  <c r="B259" i="3"/>
  <c r="B261" i="3" l="1"/>
  <c r="B252" i="3"/>
  <c r="B258" i="3" l="1"/>
  <c r="B256" i="3" l="1"/>
  <c r="B255" i="3" l="1"/>
  <c r="B258" i="2" l="1"/>
  <c r="B261" i="2" l="1"/>
  <c r="B251" i="3" l="1"/>
  <c r="B242" i="3" l="1"/>
  <c r="B239" i="3" l="1"/>
  <c r="B235" i="3" l="1"/>
  <c r="B227" i="2" l="1"/>
  <c r="B215" i="3" l="1"/>
  <c r="B210" i="2"/>
  <c r="B212" i="3" l="1"/>
  <c r="B207" i="2"/>
  <c r="B207" i="3" l="1"/>
  <c r="B200" i="2" l="1"/>
  <c r="B195" i="2" l="1"/>
  <c r="B192" i="2" l="1"/>
  <c r="B197" i="3" l="1"/>
  <c r="B189" i="2" l="1"/>
  <c r="B193" i="3" l="1"/>
  <c r="B186" i="2" l="1"/>
  <c r="B183" i="2" l="1"/>
  <c r="B182" i="2" l="1"/>
  <c r="B188" i="3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<sst xmlns="http://schemas.openxmlformats.org/spreadsheetml/2006/main" count="77" uniqueCount="47">
  <si>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</si>
  <si>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</si>
  <si>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</si>
  <si>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</si>
  <si>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</si>
  <si>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</si>
  <si>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</si>
  <si>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</si>
  <si>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</si>
  <si>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</si>
  <si>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</si>
  <si>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</si>
  <si>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</si>
  <si>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</si>
  <si>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</si>
  <si>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</si>
  <si>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</si>
  <si>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</si>
  <si>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</si>
  <si>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</si>
  <si>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</si>
  <si>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4th Beach</t>
  </si>
  <si>
    <t>Clifton and Camps Bay</t>
  </si>
  <si>
    <t>528/144</t>
  </si>
  <si>
    <t>14/-</t>
  </si>
  <si>
    <t>26/-</t>
  </si>
  <si>
    <t>700/507</t>
  </si>
  <si>
    <t>50/-</t>
  </si>
  <si>
    <t>43/-</t>
  </si>
  <si>
    <t>90/-</t>
  </si>
  <si>
    <t>115/-</t>
  </si>
  <si>
    <t>10500/2130</t>
  </si>
  <si>
    <t>139/-</t>
  </si>
  <si>
    <t>49/-</t>
  </si>
  <si>
    <t>48/-</t>
  </si>
  <si>
    <t>1135/708</t>
  </si>
  <si>
    <t>96/-</t>
  </si>
  <si>
    <t>Not Enough Data</t>
  </si>
  <si>
    <t>2289/182</t>
  </si>
  <si>
    <t>1986/1024</t>
  </si>
  <si>
    <t>1815/557</t>
  </si>
  <si>
    <t>63/-</t>
  </si>
  <si>
    <t>640/448</t>
  </si>
  <si>
    <t>25/-</t>
  </si>
  <si>
    <t>107/-</t>
  </si>
  <si>
    <t>45/-</t>
  </si>
  <si>
    <t>7/-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</si>
</sst>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4" zoomScaleNormal="100" workbookViewId="0">
      <selection activeCell="F19" sqref="F19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21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22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6">
        <f ca="1">TODAY()</f>
        <v>45740</v>
      </c>
      <c r="E11" s="56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6">
        <f>MAX(MAX('Escherichia coli'!A:A),MAX('Faecal streptococci'!A:A))</f>
        <v>45734</v>
      </c>
      <c r="E12" s="56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2024/12/01 - 2025/03/24</v>
      </c>
      <c r="E14" s="56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2020/12/01 - 2025/03/24</v>
      </c>
      <c r="E15" s="56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37</v>
      </c>
      <c r="E18" s="26"/>
      <c r="F18" s="22" t="s">
        <v>17</v>
      </c>
      <c r="G18" s="26" t="s">
        <v>43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20</v>
      </c>
      <c r="E19" s="39" t="s">
        <v>40</v>
      </c>
      <c r="F19" s="22" t="s">
        <v>19</v>
      </c>
      <c r="G19" s="39" t="s">
        <v>44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37</v>
      </c>
      <c r="E20" s="39"/>
      <c r="F20" s="22" t="s">
        <v>17</v>
      </c>
      <c r="G20" s="39" t="s">
        <v>45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20</v>
      </c>
      <c r="E21" s="39" t="s">
        <v>39</v>
      </c>
      <c r="F21" s="22" t="s">
        <v>17</v>
      </c>
      <c r="G21" s="39" t="s">
        <v>46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5">
        <v>2025</v>
      </c>
      <c r="D22" s="7" t="s">
        <v>37</v>
      </c>
      <c r="E22" s="39"/>
      <c r="F22" s="22" t="s">
        <v>17</v>
      </c>
      <c r="G22" s="39" t="s">
        <v>43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5">
        <v>2024</v>
      </c>
      <c r="D23" s="7" t="s">
        <v>37</v>
      </c>
      <c r="E23" s="39"/>
      <c r="F23" s="22" t="s">
        <v>17</v>
      </c>
      <c r="G23" s="39" t="s">
        <v>41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5">
        <v>2023</v>
      </c>
      <c r="D24" s="7" t="s">
        <v>18</v>
      </c>
      <c r="E24" s="39" t="s">
        <v>38</v>
      </c>
      <c r="F24" s="22" t="s">
        <v>20</v>
      </c>
      <c r="G24" s="39" t="s">
        <v>42</v>
      </c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20</v>
      </c>
      <c r="E25" s="39" t="s">
        <v>35</v>
      </c>
      <c r="F25" s="22" t="s">
        <v>17</v>
      </c>
      <c r="G25" s="39" t="s">
        <v>36</v>
      </c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20</v>
      </c>
      <c r="E26" s="26" t="s">
        <v>31</v>
      </c>
      <c r="F26" s="23" t="s">
        <v>19</v>
      </c>
      <c r="G26" s="26" t="s">
        <v>32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33</v>
      </c>
      <c r="F27" s="24" t="s">
        <v>17</v>
      </c>
      <c r="G27" s="19" t="s">
        <v>34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17.647058823529413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24</v>
      </c>
      <c r="F29" s="24" t="s">
        <v>17</v>
      </c>
      <c r="G29" s="19" t="s">
        <v>25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20</v>
      </c>
      <c r="E30" s="7" t="s">
        <v>26</v>
      </c>
      <c r="F30" s="24" t="s">
        <v>18</v>
      </c>
      <c r="G30" s="19">
        <v>5.1578947368421053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27</v>
      </c>
      <c r="F31" s="24" t="s">
        <v>18</v>
      </c>
      <c r="G31" s="19">
        <v>3.4729729729729728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28</v>
      </c>
      <c r="F32" s="24" t="s">
        <v>17</v>
      </c>
      <c r="G32" s="19" t="s">
        <v>29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30</v>
      </c>
      <c r="F33" s="24" t="s">
        <v>18</v>
      </c>
      <c r="G33" s="19">
        <v>6.0526315789473681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2"/>
  <sheetViews>
    <sheetView workbookViewId="0">
      <pane ySplit="1" topLeftCell="A244" activePane="bottomLeft" state="frozen"/>
      <selection pane="bottomLeft" activeCell="A266" sqref="A266"/>
    </sheetView>
  </sheetViews>
  <sheetFormatPr defaultRowHeight="15" x14ac:dyDescent="0.25"/>
  <cols>
    <col min="1" max="1" width="33" style="49" customWidth="1"/>
    <col min="2" max="2" width="12" style="48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0" t="s">
        <v>0</v>
      </c>
      <c r="B1" s="41" t="s">
        <v>1</v>
      </c>
    </row>
    <row r="2" spans="1:7" x14ac:dyDescent="0.25">
      <c r="A2" s="46">
        <v>41641.349305555559</v>
      </c>
      <c r="B2" s="47">
        <v>18</v>
      </c>
      <c r="E2" s="42"/>
      <c r="F2" s="43"/>
      <c r="G2" s="44"/>
    </row>
    <row r="3" spans="1:7" x14ac:dyDescent="0.25">
      <c r="A3" s="46">
        <v>41654.447222222225</v>
      </c>
      <c r="B3" s="47">
        <v>14</v>
      </c>
      <c r="E3" s="42"/>
      <c r="F3" s="43"/>
      <c r="G3" s="44"/>
    </row>
    <row r="4" spans="1:7" x14ac:dyDescent="0.25">
      <c r="A4" s="46">
        <v>41668.436111111114</v>
      </c>
      <c r="B4" s="47">
        <v>16</v>
      </c>
      <c r="E4" s="42"/>
      <c r="F4" s="43"/>
      <c r="G4" s="44"/>
    </row>
    <row r="5" spans="1:7" x14ac:dyDescent="0.25">
      <c r="A5" s="46">
        <v>41682.427083333336</v>
      </c>
      <c r="B5" s="47">
        <v>18</v>
      </c>
      <c r="E5" s="42"/>
      <c r="F5" s="43"/>
      <c r="G5" s="44"/>
    </row>
    <row r="6" spans="1:7" x14ac:dyDescent="0.25">
      <c r="A6" s="46">
        <v>41696.4375</v>
      </c>
      <c r="B6" s="47">
        <v>2</v>
      </c>
      <c r="E6" s="42"/>
      <c r="F6" s="43"/>
      <c r="G6" s="44"/>
    </row>
    <row r="7" spans="1:7" x14ac:dyDescent="0.25">
      <c r="A7" s="46">
        <v>41710.405555555553</v>
      </c>
      <c r="B7" s="47">
        <v>4</v>
      </c>
      <c r="E7" s="42"/>
      <c r="F7" s="43"/>
      <c r="G7" s="44"/>
    </row>
    <row r="8" spans="1:7" x14ac:dyDescent="0.25">
      <c r="A8" s="46">
        <v>41724.480555555558</v>
      </c>
      <c r="B8" s="47">
        <v>100</v>
      </c>
      <c r="E8" s="42"/>
      <c r="F8" s="43"/>
      <c r="G8" s="44"/>
    </row>
    <row r="9" spans="1:7" x14ac:dyDescent="0.25">
      <c r="A9" s="46">
        <v>41738.411111111112</v>
      </c>
      <c r="B9" s="47">
        <v>8</v>
      </c>
      <c r="E9" s="42"/>
      <c r="F9" s="43"/>
      <c r="G9" s="44"/>
    </row>
    <row r="10" spans="1:7" x14ac:dyDescent="0.25">
      <c r="A10" s="46">
        <v>41752.438194444447</v>
      </c>
      <c r="B10" s="47">
        <v>2</v>
      </c>
      <c r="E10" s="42"/>
      <c r="F10" s="43"/>
      <c r="G10" s="44"/>
    </row>
    <row r="11" spans="1:7" x14ac:dyDescent="0.25">
      <c r="A11" s="46">
        <v>41767.419444444444</v>
      </c>
      <c r="B11" s="47">
        <v>150</v>
      </c>
      <c r="E11" s="42"/>
      <c r="F11" s="43"/>
      <c r="G11" s="44"/>
    </row>
    <row r="12" spans="1:7" x14ac:dyDescent="0.25">
      <c r="A12" s="46">
        <v>41780.447916666664</v>
      </c>
      <c r="B12" s="47">
        <v>2</v>
      </c>
      <c r="E12" s="42"/>
      <c r="F12" s="43"/>
      <c r="G12" s="44"/>
    </row>
    <row r="13" spans="1:7" x14ac:dyDescent="0.25">
      <c r="A13" s="46">
        <v>41794.419444444444</v>
      </c>
      <c r="B13" s="47">
        <v>50</v>
      </c>
      <c r="E13" s="42"/>
      <c r="F13" s="43"/>
      <c r="G13" s="44"/>
    </row>
    <row r="14" spans="1:7" x14ac:dyDescent="0.25">
      <c r="A14" s="46">
        <v>41808.436805555553</v>
      </c>
      <c r="B14" s="47">
        <v>16</v>
      </c>
      <c r="E14" s="42"/>
      <c r="F14" s="43"/>
      <c r="G14" s="44"/>
    </row>
    <row r="15" spans="1:7" x14ac:dyDescent="0.25">
      <c r="A15" s="46">
        <v>41822.401388888888</v>
      </c>
      <c r="B15" s="47">
        <v>40</v>
      </c>
      <c r="E15" s="42"/>
      <c r="F15" s="43"/>
      <c r="G15" s="44"/>
    </row>
    <row r="16" spans="1:7" x14ac:dyDescent="0.25">
      <c r="A16" s="46">
        <v>41836.453472222223</v>
      </c>
      <c r="B16" s="47">
        <v>0.66666666699999999</v>
      </c>
      <c r="E16" s="42"/>
      <c r="F16" s="43"/>
      <c r="G16" s="44"/>
    </row>
    <row r="17" spans="1:7" x14ac:dyDescent="0.25">
      <c r="A17" s="46">
        <v>41850.423611111109</v>
      </c>
      <c r="B17" s="47">
        <v>18</v>
      </c>
      <c r="E17" s="42"/>
      <c r="F17" s="43"/>
      <c r="G17" s="44"/>
    </row>
    <row r="18" spans="1:7" x14ac:dyDescent="0.25">
      <c r="A18" s="46">
        <v>41864.415972222225</v>
      </c>
      <c r="B18" s="47">
        <v>10</v>
      </c>
      <c r="E18" s="42"/>
      <c r="F18" s="43"/>
      <c r="G18" s="44"/>
    </row>
    <row r="19" spans="1:7" x14ac:dyDescent="0.25">
      <c r="A19" s="46">
        <v>41878.435416666667</v>
      </c>
      <c r="B19" s="47">
        <v>28</v>
      </c>
      <c r="E19" s="42"/>
      <c r="F19" s="43"/>
      <c r="G19" s="44"/>
    </row>
    <row r="20" spans="1:7" x14ac:dyDescent="0.25">
      <c r="A20" s="46">
        <v>41892.39166666667</v>
      </c>
      <c r="B20" s="47">
        <v>0.66666666699999999</v>
      </c>
      <c r="E20" s="42"/>
      <c r="F20" s="43"/>
      <c r="G20" s="44"/>
    </row>
    <row r="21" spans="1:7" x14ac:dyDescent="0.25">
      <c r="A21" s="46">
        <v>41907.424305555556</v>
      </c>
      <c r="B21" s="47">
        <v>0.33333333300000001</v>
      </c>
      <c r="E21" s="42"/>
      <c r="F21" s="43"/>
      <c r="G21" s="44"/>
    </row>
    <row r="22" spans="1:7" x14ac:dyDescent="0.25">
      <c r="A22" s="46">
        <v>41920.42083333333</v>
      </c>
      <c r="B22" s="47">
        <v>0.66666666699999999</v>
      </c>
      <c r="E22" s="42"/>
      <c r="F22" s="43"/>
      <c r="G22" s="44"/>
    </row>
    <row r="23" spans="1:7" x14ac:dyDescent="0.25">
      <c r="A23" s="46">
        <v>41934.419444444444</v>
      </c>
      <c r="B23" s="47">
        <v>18</v>
      </c>
      <c r="E23" s="42"/>
      <c r="F23" s="43"/>
      <c r="G23" s="44"/>
    </row>
    <row r="24" spans="1:7" x14ac:dyDescent="0.25">
      <c r="A24" s="46">
        <v>41948.431250000001</v>
      </c>
      <c r="B24" s="47">
        <v>6</v>
      </c>
      <c r="E24" s="42"/>
      <c r="F24" s="43"/>
      <c r="G24" s="44"/>
    </row>
    <row r="25" spans="1:7" x14ac:dyDescent="0.25">
      <c r="A25" s="46">
        <v>41962.40625</v>
      </c>
      <c r="B25" s="47">
        <v>0.66666666699999999</v>
      </c>
      <c r="E25" s="42"/>
      <c r="F25" s="43"/>
      <c r="G25" s="44"/>
    </row>
    <row r="26" spans="1:7" x14ac:dyDescent="0.25">
      <c r="A26" s="46">
        <v>41976.429166666669</v>
      </c>
      <c r="B26" s="47">
        <v>22</v>
      </c>
      <c r="E26" s="42"/>
      <c r="F26" s="43"/>
      <c r="G26" s="44"/>
    </row>
    <row r="27" spans="1:7" x14ac:dyDescent="0.25">
      <c r="A27" s="46">
        <v>41988</v>
      </c>
      <c r="B27" s="47">
        <v>10</v>
      </c>
      <c r="E27" s="42"/>
      <c r="F27" s="43"/>
      <c r="G27" s="44"/>
    </row>
    <row r="28" spans="1:7" x14ac:dyDescent="0.25">
      <c r="A28" s="46">
        <v>41990.35833333333</v>
      </c>
      <c r="B28" s="47">
        <v>10</v>
      </c>
      <c r="E28" s="42"/>
      <c r="F28" s="43"/>
      <c r="G28" s="44"/>
    </row>
    <row r="29" spans="1:7" x14ac:dyDescent="0.25">
      <c r="A29" s="46">
        <v>41996</v>
      </c>
      <c r="B29" s="47">
        <v>0.66666666699999999</v>
      </c>
      <c r="E29" s="42"/>
      <c r="F29" s="43"/>
      <c r="G29" s="44"/>
    </row>
    <row r="30" spans="1:7" x14ac:dyDescent="0.25">
      <c r="A30" s="46">
        <v>42003.439583333333</v>
      </c>
      <c r="B30" s="47">
        <v>42</v>
      </c>
      <c r="E30" s="42"/>
      <c r="F30" s="43"/>
      <c r="G30" s="44"/>
    </row>
    <row r="31" spans="1:7" x14ac:dyDescent="0.25">
      <c r="A31" s="46">
        <v>42018.419444444444</v>
      </c>
      <c r="B31" s="47">
        <v>0.66666666699999999</v>
      </c>
      <c r="E31" s="42"/>
      <c r="F31" s="43"/>
      <c r="G31" s="44"/>
    </row>
    <row r="32" spans="1:7" x14ac:dyDescent="0.25">
      <c r="A32" s="46">
        <v>42032.46875</v>
      </c>
      <c r="B32" s="47">
        <v>14</v>
      </c>
      <c r="E32" s="42"/>
      <c r="F32" s="43"/>
      <c r="G32" s="44"/>
    </row>
    <row r="33" spans="1:7" x14ac:dyDescent="0.25">
      <c r="A33" s="46">
        <v>42046.418055555558</v>
      </c>
      <c r="B33" s="47">
        <v>0.33333333300000001</v>
      </c>
      <c r="E33" s="42"/>
      <c r="F33" s="43"/>
      <c r="G33" s="44"/>
    </row>
    <row r="34" spans="1:7" x14ac:dyDescent="0.25">
      <c r="A34" s="46">
        <v>42060</v>
      </c>
      <c r="B34" s="47">
        <v>0.66666666699999999</v>
      </c>
      <c r="E34" s="42"/>
      <c r="F34" s="43"/>
      <c r="G34" s="44"/>
    </row>
    <row r="35" spans="1:7" x14ac:dyDescent="0.25">
      <c r="A35" s="46">
        <v>42074.479861111111</v>
      </c>
      <c r="B35" s="47">
        <v>2</v>
      </c>
      <c r="E35" s="42"/>
      <c r="F35" s="43"/>
      <c r="G35" s="44"/>
    </row>
    <row r="36" spans="1:7" x14ac:dyDescent="0.25">
      <c r="A36" s="46">
        <v>42088</v>
      </c>
      <c r="B36" s="47">
        <v>2</v>
      </c>
      <c r="E36" s="42"/>
      <c r="F36" s="43"/>
      <c r="G36" s="44"/>
    </row>
    <row r="37" spans="1:7" x14ac:dyDescent="0.25">
      <c r="A37" s="46">
        <v>42102</v>
      </c>
      <c r="B37" s="47">
        <v>0.66666666699999999</v>
      </c>
      <c r="E37" s="42"/>
      <c r="F37" s="43"/>
      <c r="G37" s="44"/>
    </row>
    <row r="38" spans="1:7" x14ac:dyDescent="0.25">
      <c r="A38" s="46">
        <v>42116</v>
      </c>
      <c r="B38" s="47">
        <v>0.66666666699999999</v>
      </c>
      <c r="E38" s="42"/>
      <c r="F38" s="43"/>
      <c r="G38" s="44"/>
    </row>
    <row r="39" spans="1:7" x14ac:dyDescent="0.25">
      <c r="A39" s="46">
        <v>42130</v>
      </c>
      <c r="B39" s="47">
        <v>12</v>
      </c>
      <c r="E39" s="42"/>
      <c r="F39" s="43"/>
      <c r="G39" s="44"/>
    </row>
    <row r="40" spans="1:7" x14ac:dyDescent="0.25">
      <c r="A40" s="46">
        <v>42144</v>
      </c>
      <c r="B40" s="47">
        <v>38</v>
      </c>
      <c r="E40" s="42"/>
      <c r="F40" s="43"/>
      <c r="G40" s="44"/>
    </row>
    <row r="41" spans="1:7" x14ac:dyDescent="0.25">
      <c r="A41" s="46">
        <v>42158</v>
      </c>
      <c r="B41" s="47">
        <v>0.66666666699999999</v>
      </c>
      <c r="E41" s="42"/>
      <c r="F41" s="43"/>
      <c r="G41" s="44"/>
    </row>
    <row r="42" spans="1:7" x14ac:dyDescent="0.25">
      <c r="A42" s="46">
        <v>42172</v>
      </c>
      <c r="B42" s="47">
        <v>50</v>
      </c>
      <c r="E42" s="42"/>
      <c r="F42" s="43"/>
      <c r="G42" s="44"/>
    </row>
    <row r="43" spans="1:7" x14ac:dyDescent="0.25">
      <c r="A43" s="46">
        <v>42186</v>
      </c>
      <c r="B43" s="47">
        <v>0.66666666699999999</v>
      </c>
      <c r="E43" s="42"/>
      <c r="F43" s="43"/>
      <c r="G43" s="44"/>
    </row>
    <row r="44" spans="1:7" x14ac:dyDescent="0.25">
      <c r="A44" s="46">
        <v>42200</v>
      </c>
      <c r="B44" s="47">
        <v>4</v>
      </c>
      <c r="E44" s="42"/>
      <c r="F44" s="43"/>
      <c r="G44" s="44"/>
    </row>
    <row r="45" spans="1:7" x14ac:dyDescent="0.25">
      <c r="A45" s="46">
        <v>42214</v>
      </c>
      <c r="B45" s="47">
        <v>22</v>
      </c>
      <c r="E45" s="42"/>
      <c r="F45" s="43"/>
      <c r="G45" s="44"/>
    </row>
    <row r="46" spans="1:7" x14ac:dyDescent="0.25">
      <c r="A46" s="46">
        <v>42228</v>
      </c>
      <c r="B46" s="47">
        <v>0.66666666699999999</v>
      </c>
      <c r="E46" s="42"/>
      <c r="F46" s="43"/>
      <c r="G46" s="44"/>
    </row>
    <row r="47" spans="1:7" x14ac:dyDescent="0.25">
      <c r="A47" s="46">
        <v>42242</v>
      </c>
      <c r="B47" s="47">
        <v>0.66666666699999999</v>
      </c>
      <c r="E47" s="42"/>
      <c r="F47" s="43"/>
      <c r="G47" s="44"/>
    </row>
    <row r="48" spans="1:7" x14ac:dyDescent="0.25">
      <c r="A48" s="46">
        <v>42256</v>
      </c>
      <c r="B48" s="47">
        <v>14</v>
      </c>
      <c r="E48" s="42"/>
      <c r="F48" s="43"/>
      <c r="G48" s="44"/>
    </row>
    <row r="49" spans="1:7" x14ac:dyDescent="0.25">
      <c r="A49" s="46">
        <v>42270</v>
      </c>
      <c r="B49" s="47">
        <v>6</v>
      </c>
      <c r="E49" s="42"/>
      <c r="F49" s="43"/>
      <c r="G49" s="44"/>
    </row>
    <row r="50" spans="1:7" x14ac:dyDescent="0.25">
      <c r="A50" s="46">
        <v>42284</v>
      </c>
      <c r="B50" s="47">
        <v>0.66666666699999999</v>
      </c>
      <c r="E50" s="42"/>
      <c r="F50" s="43"/>
      <c r="G50" s="44"/>
    </row>
    <row r="51" spans="1:7" x14ac:dyDescent="0.25">
      <c r="A51" s="46">
        <v>42298</v>
      </c>
      <c r="B51" s="47">
        <v>0.66666666699999999</v>
      </c>
      <c r="E51" s="42"/>
      <c r="F51" s="43"/>
      <c r="G51" s="44"/>
    </row>
    <row r="52" spans="1:7" x14ac:dyDescent="0.25">
      <c r="A52" s="46">
        <v>42312</v>
      </c>
      <c r="B52" s="47">
        <v>0.66666666699999999</v>
      </c>
      <c r="E52" s="42"/>
      <c r="F52" s="43"/>
      <c r="G52" s="44"/>
    </row>
    <row r="53" spans="1:7" x14ac:dyDescent="0.25">
      <c r="A53" s="46">
        <v>42326</v>
      </c>
      <c r="B53" s="47">
        <v>4</v>
      </c>
      <c r="E53" s="42"/>
      <c r="F53" s="43"/>
      <c r="G53" s="44"/>
    </row>
    <row r="54" spans="1:7" x14ac:dyDescent="0.25">
      <c r="A54" s="46">
        <v>42340</v>
      </c>
      <c r="B54" s="47">
        <v>0.66666666699999999</v>
      </c>
      <c r="E54" s="42"/>
      <c r="F54" s="43"/>
      <c r="G54" s="44"/>
    </row>
    <row r="55" spans="1:7" x14ac:dyDescent="0.25">
      <c r="A55" s="46">
        <v>42353</v>
      </c>
      <c r="B55" s="47">
        <v>38</v>
      </c>
      <c r="E55" s="42"/>
      <c r="F55" s="43"/>
      <c r="G55" s="44"/>
    </row>
    <row r="56" spans="1:7" x14ac:dyDescent="0.25">
      <c r="A56" s="46">
        <v>42368</v>
      </c>
      <c r="B56" s="47">
        <v>8</v>
      </c>
      <c r="E56" s="42"/>
      <c r="F56" s="43"/>
      <c r="G56" s="44"/>
    </row>
    <row r="57" spans="1:7" x14ac:dyDescent="0.25">
      <c r="A57" s="46">
        <v>42382</v>
      </c>
      <c r="B57" s="47">
        <v>16</v>
      </c>
      <c r="E57" s="42"/>
      <c r="F57" s="43"/>
      <c r="G57" s="44"/>
    </row>
    <row r="58" spans="1:7" x14ac:dyDescent="0.25">
      <c r="A58" s="46">
        <v>42396</v>
      </c>
      <c r="B58" s="47">
        <v>2</v>
      </c>
      <c r="E58" s="42"/>
      <c r="F58" s="43"/>
      <c r="G58" s="44"/>
    </row>
    <row r="59" spans="1:7" x14ac:dyDescent="0.25">
      <c r="A59" s="46">
        <v>42410</v>
      </c>
      <c r="B59" s="47">
        <v>0.66666666699999999</v>
      </c>
      <c r="E59" s="42"/>
      <c r="F59" s="43"/>
      <c r="G59" s="44"/>
    </row>
    <row r="60" spans="1:7" x14ac:dyDescent="0.25">
      <c r="A60" s="46">
        <v>42424</v>
      </c>
      <c r="B60" s="47">
        <v>0.66666666699999999</v>
      </c>
      <c r="E60" s="42"/>
      <c r="F60" s="43"/>
      <c r="G60" s="44"/>
    </row>
    <row r="61" spans="1:7" x14ac:dyDescent="0.25">
      <c r="A61" s="46">
        <v>42438</v>
      </c>
      <c r="B61" s="47">
        <v>0.66666666699999999</v>
      </c>
      <c r="E61" s="42"/>
      <c r="F61" s="43"/>
      <c r="G61" s="44"/>
    </row>
    <row r="62" spans="1:7" x14ac:dyDescent="0.25">
      <c r="A62" s="46">
        <v>42451</v>
      </c>
      <c r="B62" s="47">
        <v>2</v>
      </c>
      <c r="E62" s="42"/>
      <c r="F62" s="43"/>
      <c r="G62" s="44"/>
    </row>
    <row r="63" spans="1:7" x14ac:dyDescent="0.25">
      <c r="A63" s="46">
        <v>42466</v>
      </c>
      <c r="B63" s="47">
        <v>0.66666666699999999</v>
      </c>
      <c r="E63" s="42"/>
      <c r="F63" s="43"/>
      <c r="G63" s="44"/>
    </row>
    <row r="64" spans="1:7" x14ac:dyDescent="0.25">
      <c r="A64" s="46">
        <v>42480</v>
      </c>
      <c r="B64" s="47">
        <v>0.66666666699999999</v>
      </c>
      <c r="E64" s="42"/>
      <c r="F64" s="43"/>
      <c r="G64" s="44"/>
    </row>
    <row r="65" spans="1:7" x14ac:dyDescent="0.25">
      <c r="A65" s="46">
        <v>42494</v>
      </c>
      <c r="B65" s="47">
        <v>28</v>
      </c>
      <c r="E65" s="42"/>
      <c r="F65" s="43"/>
      <c r="G65" s="44"/>
    </row>
    <row r="66" spans="1:7" x14ac:dyDescent="0.25">
      <c r="A66" s="46">
        <v>42508</v>
      </c>
      <c r="B66" s="47">
        <v>6</v>
      </c>
      <c r="E66" s="42"/>
      <c r="F66" s="43"/>
      <c r="G66" s="44"/>
    </row>
    <row r="67" spans="1:7" x14ac:dyDescent="0.25">
      <c r="A67" s="46">
        <v>42522</v>
      </c>
      <c r="B67" s="47">
        <v>0.66666666699999999</v>
      </c>
      <c r="E67" s="42"/>
      <c r="F67" s="43"/>
      <c r="G67" s="44"/>
    </row>
    <row r="68" spans="1:7" x14ac:dyDescent="0.25">
      <c r="A68" s="46">
        <v>42536</v>
      </c>
      <c r="B68" s="47">
        <v>118</v>
      </c>
      <c r="E68" s="42"/>
      <c r="F68" s="43"/>
      <c r="G68" s="44"/>
    </row>
    <row r="69" spans="1:7" x14ac:dyDescent="0.25">
      <c r="A69" s="46">
        <v>42550</v>
      </c>
      <c r="B69" s="47">
        <v>16</v>
      </c>
      <c r="E69" s="42"/>
      <c r="F69" s="43"/>
      <c r="G69" s="44"/>
    </row>
    <row r="70" spans="1:7" x14ac:dyDescent="0.25">
      <c r="A70" s="46">
        <v>42564</v>
      </c>
      <c r="B70" s="47">
        <v>0.66666666699999999</v>
      </c>
      <c r="E70" s="42"/>
      <c r="F70" s="43"/>
      <c r="G70" s="44"/>
    </row>
    <row r="71" spans="1:7" x14ac:dyDescent="0.25">
      <c r="A71" s="46">
        <v>42578</v>
      </c>
      <c r="B71" s="47">
        <v>30</v>
      </c>
      <c r="E71" s="42"/>
      <c r="F71" s="43"/>
      <c r="G71" s="44"/>
    </row>
    <row r="72" spans="1:7" x14ac:dyDescent="0.25">
      <c r="A72" s="46">
        <v>42592</v>
      </c>
      <c r="B72" s="47">
        <v>22</v>
      </c>
      <c r="E72" s="42"/>
      <c r="F72" s="43"/>
      <c r="G72" s="44"/>
    </row>
    <row r="73" spans="1:7" x14ac:dyDescent="0.25">
      <c r="A73" s="46">
        <v>42606</v>
      </c>
      <c r="B73" s="47">
        <v>4</v>
      </c>
      <c r="E73" s="42"/>
      <c r="F73" s="43"/>
      <c r="G73" s="44"/>
    </row>
    <row r="74" spans="1:7" x14ac:dyDescent="0.25">
      <c r="A74" s="46">
        <v>42620</v>
      </c>
      <c r="B74" s="47">
        <v>8</v>
      </c>
      <c r="E74" s="42"/>
      <c r="F74" s="43"/>
      <c r="G74" s="44"/>
    </row>
    <row r="75" spans="1:7" x14ac:dyDescent="0.25">
      <c r="A75" s="46">
        <v>42634</v>
      </c>
      <c r="B75" s="47">
        <v>0.66666666699999999</v>
      </c>
      <c r="E75" s="42"/>
      <c r="F75" s="43"/>
      <c r="G75" s="44"/>
    </row>
    <row r="76" spans="1:7" x14ac:dyDescent="0.25">
      <c r="A76" s="46">
        <v>42648</v>
      </c>
      <c r="B76" s="47">
        <v>0.66666666699999999</v>
      </c>
      <c r="E76" s="42"/>
      <c r="F76" s="43"/>
      <c r="G76" s="44"/>
    </row>
    <row r="77" spans="1:7" x14ac:dyDescent="0.25">
      <c r="A77" s="46">
        <v>42662</v>
      </c>
      <c r="B77" s="47">
        <v>0.66666666699999999</v>
      </c>
      <c r="E77" s="42"/>
      <c r="F77" s="43"/>
      <c r="G77" s="44"/>
    </row>
    <row r="78" spans="1:7" x14ac:dyDescent="0.25">
      <c r="A78" s="46">
        <v>42676</v>
      </c>
      <c r="B78" s="47">
        <v>0.66666666699999999</v>
      </c>
      <c r="E78" s="42"/>
      <c r="F78" s="43"/>
      <c r="G78" s="44"/>
    </row>
    <row r="79" spans="1:7" x14ac:dyDescent="0.25">
      <c r="A79" s="46">
        <v>42690</v>
      </c>
      <c r="B79" s="47">
        <v>2</v>
      </c>
      <c r="E79" s="42"/>
      <c r="F79" s="43"/>
      <c r="G79" s="44"/>
    </row>
    <row r="80" spans="1:7" x14ac:dyDescent="0.25">
      <c r="A80" s="46">
        <v>42704</v>
      </c>
      <c r="B80" s="47">
        <v>3.3333333330000001</v>
      </c>
      <c r="E80" s="42"/>
      <c r="F80" s="43"/>
      <c r="G80" s="44"/>
    </row>
    <row r="81" spans="1:7" x14ac:dyDescent="0.25">
      <c r="A81" s="46">
        <v>42718</v>
      </c>
      <c r="B81" s="47">
        <v>3.3333333330000001</v>
      </c>
      <c r="E81" s="42"/>
      <c r="F81" s="43"/>
      <c r="G81" s="44"/>
    </row>
    <row r="82" spans="1:7" x14ac:dyDescent="0.25">
      <c r="A82" s="46">
        <v>42733</v>
      </c>
      <c r="B82" s="47">
        <v>4</v>
      </c>
      <c r="E82" s="42"/>
      <c r="F82" s="43"/>
      <c r="G82" s="44"/>
    </row>
    <row r="83" spans="1:7" x14ac:dyDescent="0.25">
      <c r="A83" s="46">
        <v>42746</v>
      </c>
      <c r="B83" s="47">
        <v>0.66666666699999999</v>
      </c>
      <c r="E83" s="42"/>
      <c r="F83" s="43"/>
      <c r="G83" s="44"/>
    </row>
    <row r="84" spans="1:7" x14ac:dyDescent="0.25">
      <c r="A84" s="46">
        <v>42760</v>
      </c>
      <c r="B84" s="47">
        <v>0.66666666699999999</v>
      </c>
      <c r="E84" s="42"/>
      <c r="F84" s="43"/>
      <c r="G84" s="44"/>
    </row>
    <row r="85" spans="1:7" x14ac:dyDescent="0.25">
      <c r="A85" s="46">
        <v>42774</v>
      </c>
      <c r="B85" s="47">
        <v>0.66666666699999999</v>
      </c>
      <c r="E85" s="42"/>
      <c r="F85" s="43"/>
      <c r="G85" s="44"/>
    </row>
    <row r="86" spans="1:7" x14ac:dyDescent="0.25">
      <c r="A86" s="46">
        <v>42788</v>
      </c>
      <c r="B86" s="47">
        <v>0.66666666699999999</v>
      </c>
      <c r="E86" s="42"/>
      <c r="F86" s="43"/>
      <c r="G86" s="44"/>
    </row>
    <row r="87" spans="1:7" x14ac:dyDescent="0.25">
      <c r="A87" s="46">
        <v>42802</v>
      </c>
      <c r="B87" s="47">
        <v>2</v>
      </c>
      <c r="E87" s="42"/>
      <c r="F87" s="43"/>
      <c r="G87" s="44"/>
    </row>
    <row r="88" spans="1:7" x14ac:dyDescent="0.25">
      <c r="A88" s="46">
        <v>42816</v>
      </c>
      <c r="B88" s="47">
        <v>0.66666666699999999</v>
      </c>
      <c r="E88" s="42"/>
      <c r="F88" s="43"/>
      <c r="G88" s="44"/>
    </row>
    <row r="89" spans="1:7" x14ac:dyDescent="0.25">
      <c r="A89" s="46">
        <v>42830</v>
      </c>
      <c r="B89" s="47">
        <v>14</v>
      </c>
      <c r="E89" s="42"/>
      <c r="F89" s="43"/>
      <c r="G89" s="44"/>
    </row>
    <row r="90" spans="1:7" x14ac:dyDescent="0.25">
      <c r="A90" s="46">
        <v>42844</v>
      </c>
      <c r="B90" s="47">
        <v>0.66666666699999999</v>
      </c>
      <c r="E90" s="42"/>
      <c r="F90" s="43"/>
      <c r="G90" s="44"/>
    </row>
    <row r="91" spans="1:7" x14ac:dyDescent="0.25">
      <c r="A91" s="46">
        <v>42858</v>
      </c>
      <c r="B91" s="47">
        <v>8</v>
      </c>
      <c r="E91" s="42"/>
      <c r="F91" s="43"/>
      <c r="G91" s="44"/>
    </row>
    <row r="92" spans="1:7" x14ac:dyDescent="0.25">
      <c r="A92" s="46">
        <v>42872</v>
      </c>
      <c r="B92" s="47">
        <v>8</v>
      </c>
      <c r="E92" s="42"/>
      <c r="F92" s="43"/>
      <c r="G92" s="44"/>
    </row>
    <row r="93" spans="1:7" x14ac:dyDescent="0.25">
      <c r="A93" s="46">
        <v>42886</v>
      </c>
      <c r="B93" s="47">
        <v>58</v>
      </c>
      <c r="E93" s="42"/>
      <c r="F93" s="43"/>
      <c r="G93" s="44"/>
    </row>
    <row r="94" spans="1:7" x14ac:dyDescent="0.25">
      <c r="A94" s="46">
        <v>42900</v>
      </c>
      <c r="B94" s="47">
        <v>550</v>
      </c>
      <c r="E94" s="42"/>
      <c r="F94" s="43"/>
      <c r="G94" s="44"/>
    </row>
    <row r="95" spans="1:7" x14ac:dyDescent="0.25">
      <c r="A95" s="46">
        <v>42914</v>
      </c>
      <c r="B95" s="47">
        <v>122</v>
      </c>
      <c r="E95" s="42"/>
      <c r="F95" s="43"/>
      <c r="G95" s="44"/>
    </row>
    <row r="96" spans="1:7" x14ac:dyDescent="0.25">
      <c r="A96" s="46">
        <v>42928</v>
      </c>
      <c r="B96" s="47">
        <v>550</v>
      </c>
      <c r="E96" s="42"/>
      <c r="F96" s="43"/>
      <c r="G96" s="44"/>
    </row>
    <row r="97" spans="1:7" x14ac:dyDescent="0.25">
      <c r="A97" s="46">
        <v>42942</v>
      </c>
      <c r="B97" s="47">
        <v>1300</v>
      </c>
      <c r="E97" s="42"/>
      <c r="F97" s="43"/>
      <c r="G97" s="44"/>
    </row>
    <row r="98" spans="1:7" x14ac:dyDescent="0.25">
      <c r="A98" s="46">
        <v>42957</v>
      </c>
      <c r="B98" s="47">
        <v>14</v>
      </c>
      <c r="E98" s="42"/>
      <c r="F98" s="43"/>
      <c r="G98" s="44"/>
    </row>
    <row r="99" spans="1:7" x14ac:dyDescent="0.25">
      <c r="A99" s="46">
        <v>42970</v>
      </c>
      <c r="B99" s="47">
        <v>70</v>
      </c>
      <c r="E99" s="42"/>
      <c r="F99" s="43"/>
      <c r="G99" s="44"/>
    </row>
    <row r="100" spans="1:7" x14ac:dyDescent="0.25">
      <c r="A100" s="46">
        <v>42984</v>
      </c>
      <c r="B100" s="47">
        <v>4</v>
      </c>
      <c r="E100" s="42"/>
      <c r="F100" s="43"/>
      <c r="G100" s="44"/>
    </row>
    <row r="101" spans="1:7" x14ac:dyDescent="0.25">
      <c r="A101" s="46">
        <v>42998</v>
      </c>
      <c r="B101" s="47">
        <v>0.66666666699999999</v>
      </c>
      <c r="E101" s="42"/>
      <c r="F101" s="43"/>
      <c r="G101" s="44"/>
    </row>
    <row r="102" spans="1:7" x14ac:dyDescent="0.25">
      <c r="A102" s="46">
        <v>43012</v>
      </c>
      <c r="B102" s="47">
        <v>6</v>
      </c>
      <c r="E102" s="42"/>
      <c r="F102" s="43"/>
      <c r="G102" s="44"/>
    </row>
    <row r="103" spans="1:7" x14ac:dyDescent="0.25">
      <c r="A103" s="46">
        <v>43026</v>
      </c>
      <c r="B103" s="47">
        <v>0.66666666699999999</v>
      </c>
      <c r="E103" s="42"/>
      <c r="F103" s="43"/>
      <c r="G103" s="44"/>
    </row>
    <row r="104" spans="1:7" x14ac:dyDescent="0.25">
      <c r="A104" s="46">
        <v>43040</v>
      </c>
      <c r="B104" s="47">
        <v>2</v>
      </c>
      <c r="E104" s="42"/>
      <c r="F104" s="43"/>
      <c r="G104" s="44"/>
    </row>
    <row r="105" spans="1:7" x14ac:dyDescent="0.25">
      <c r="A105" s="46">
        <v>43054</v>
      </c>
      <c r="B105" s="47">
        <v>0.66666666699999999</v>
      </c>
      <c r="E105" s="42"/>
      <c r="F105" s="43"/>
      <c r="G105" s="44"/>
    </row>
    <row r="106" spans="1:7" x14ac:dyDescent="0.25">
      <c r="A106" s="46">
        <v>43068</v>
      </c>
      <c r="B106" s="47">
        <v>0.66666666699999999</v>
      </c>
      <c r="E106" s="42"/>
      <c r="F106" s="43"/>
      <c r="G106" s="44"/>
    </row>
    <row r="107" spans="1:7" x14ac:dyDescent="0.25">
      <c r="A107" s="46">
        <v>43082</v>
      </c>
      <c r="B107" s="47">
        <v>2</v>
      </c>
      <c r="E107" s="42"/>
      <c r="F107" s="43"/>
      <c r="G107" s="44"/>
    </row>
    <row r="108" spans="1:7" x14ac:dyDescent="0.25">
      <c r="A108" s="46">
        <v>43097</v>
      </c>
      <c r="B108" s="47">
        <v>0.66666666699999999</v>
      </c>
      <c r="E108" s="42"/>
      <c r="F108" s="43"/>
      <c r="G108" s="44"/>
    </row>
    <row r="109" spans="1:7" x14ac:dyDescent="0.25">
      <c r="A109" s="46">
        <v>43110</v>
      </c>
      <c r="B109" s="47">
        <v>4</v>
      </c>
      <c r="E109" s="42"/>
      <c r="F109" s="43"/>
      <c r="G109" s="44"/>
    </row>
    <row r="110" spans="1:7" x14ac:dyDescent="0.25">
      <c r="A110" s="46">
        <v>43124</v>
      </c>
      <c r="B110" s="47">
        <v>0.66666666699999999</v>
      </c>
      <c r="E110" s="42"/>
      <c r="F110" s="43"/>
      <c r="G110" s="44"/>
    </row>
    <row r="111" spans="1:7" x14ac:dyDescent="0.25">
      <c r="A111" s="46">
        <v>43138</v>
      </c>
      <c r="B111" s="47">
        <v>0.66666666699999999</v>
      </c>
      <c r="E111" s="42"/>
      <c r="F111" s="43"/>
      <c r="G111" s="44"/>
    </row>
    <row r="112" spans="1:7" x14ac:dyDescent="0.25">
      <c r="A112" s="46">
        <v>43152</v>
      </c>
      <c r="B112" s="47">
        <v>0.66666666699999999</v>
      </c>
      <c r="E112" s="42"/>
      <c r="F112" s="43"/>
      <c r="G112" s="44"/>
    </row>
    <row r="113" spans="1:7" x14ac:dyDescent="0.25">
      <c r="A113" s="46">
        <v>43166</v>
      </c>
      <c r="B113" s="47">
        <v>2</v>
      </c>
      <c r="E113" s="42"/>
      <c r="F113" s="43"/>
      <c r="G113" s="44"/>
    </row>
    <row r="114" spans="1:7" x14ac:dyDescent="0.25">
      <c r="A114" s="46">
        <v>43181</v>
      </c>
      <c r="B114" s="47">
        <v>0.66666666699999999</v>
      </c>
      <c r="E114" s="42"/>
      <c r="F114" s="43"/>
      <c r="G114" s="44"/>
    </row>
    <row r="115" spans="1:7" x14ac:dyDescent="0.25">
      <c r="A115" s="46">
        <v>43194</v>
      </c>
      <c r="B115" s="47">
        <v>6</v>
      </c>
      <c r="E115" s="42"/>
      <c r="F115" s="43"/>
      <c r="G115" s="44"/>
    </row>
    <row r="116" spans="1:7" x14ac:dyDescent="0.25">
      <c r="A116" s="46">
        <v>43208</v>
      </c>
      <c r="B116" s="47">
        <v>4</v>
      </c>
      <c r="E116" s="42"/>
      <c r="F116" s="43"/>
      <c r="G116" s="44"/>
    </row>
    <row r="117" spans="1:7" x14ac:dyDescent="0.25">
      <c r="A117" s="46">
        <v>43222</v>
      </c>
      <c r="B117" s="47">
        <v>4</v>
      </c>
      <c r="E117" s="42"/>
      <c r="F117" s="43"/>
      <c r="G117" s="44"/>
    </row>
    <row r="118" spans="1:7" x14ac:dyDescent="0.25">
      <c r="A118" s="46">
        <v>43236</v>
      </c>
      <c r="B118" s="47">
        <v>10</v>
      </c>
      <c r="E118" s="42"/>
      <c r="F118" s="43"/>
      <c r="G118" s="44"/>
    </row>
    <row r="119" spans="1:7" x14ac:dyDescent="0.25">
      <c r="A119" s="46">
        <v>43250</v>
      </c>
      <c r="B119" s="47">
        <v>30</v>
      </c>
      <c r="E119" s="42"/>
      <c r="F119" s="43"/>
      <c r="G119" s="44"/>
    </row>
    <row r="120" spans="1:7" x14ac:dyDescent="0.25">
      <c r="A120" s="46">
        <v>43264</v>
      </c>
      <c r="B120" s="47">
        <v>0.66666666699999999</v>
      </c>
      <c r="E120" s="42"/>
      <c r="F120" s="43"/>
      <c r="G120" s="44"/>
    </row>
    <row r="121" spans="1:7" x14ac:dyDescent="0.25">
      <c r="A121" s="46">
        <v>43278</v>
      </c>
      <c r="B121" s="47">
        <v>6</v>
      </c>
      <c r="E121" s="42"/>
      <c r="F121" s="43"/>
      <c r="G121" s="44"/>
    </row>
    <row r="122" spans="1:7" x14ac:dyDescent="0.25">
      <c r="A122" s="46">
        <v>43292</v>
      </c>
      <c r="B122" s="47">
        <v>8</v>
      </c>
      <c r="E122" s="42"/>
      <c r="F122" s="43"/>
      <c r="G122" s="44"/>
    </row>
    <row r="123" spans="1:7" x14ac:dyDescent="0.25">
      <c r="A123" s="46">
        <v>43306</v>
      </c>
      <c r="B123" s="47">
        <v>4</v>
      </c>
      <c r="E123" s="42"/>
      <c r="F123" s="43"/>
      <c r="G123" s="44"/>
    </row>
    <row r="124" spans="1:7" x14ac:dyDescent="0.25">
      <c r="A124" s="46">
        <v>43320</v>
      </c>
      <c r="B124" s="47">
        <v>0.66666666699999999</v>
      </c>
      <c r="E124" s="42"/>
      <c r="F124" s="43"/>
      <c r="G124" s="44"/>
    </row>
    <row r="125" spans="1:7" x14ac:dyDescent="0.25">
      <c r="A125" s="46">
        <v>43334</v>
      </c>
      <c r="B125" s="47">
        <v>0.66666666699999999</v>
      </c>
      <c r="E125" s="42"/>
      <c r="F125" s="43"/>
      <c r="G125" s="44"/>
    </row>
    <row r="126" spans="1:7" x14ac:dyDescent="0.25">
      <c r="A126" s="46">
        <v>43348</v>
      </c>
      <c r="B126" s="47">
        <v>8</v>
      </c>
      <c r="E126" s="42"/>
      <c r="F126" s="43"/>
      <c r="G126" s="44"/>
    </row>
    <row r="127" spans="1:7" x14ac:dyDescent="0.25">
      <c r="A127" s="46">
        <v>43362</v>
      </c>
      <c r="B127" s="47">
        <v>8</v>
      </c>
      <c r="E127" s="42"/>
      <c r="F127" s="43"/>
      <c r="G127" s="44"/>
    </row>
    <row r="128" spans="1:7" x14ac:dyDescent="0.25">
      <c r="A128" s="46">
        <v>43376.445138888892</v>
      </c>
      <c r="B128" s="47">
        <v>6</v>
      </c>
      <c r="E128" s="42"/>
      <c r="F128" s="43"/>
      <c r="G128" s="44"/>
    </row>
    <row r="129" spans="1:7" x14ac:dyDescent="0.25">
      <c r="A129" s="46">
        <v>43390.440972222219</v>
      </c>
      <c r="B129" s="47">
        <v>0.66666666699999999</v>
      </c>
      <c r="E129" s="42"/>
      <c r="F129" s="43"/>
      <c r="G129" s="44"/>
    </row>
    <row r="130" spans="1:7" x14ac:dyDescent="0.25">
      <c r="A130" s="46">
        <v>43404.371527777781</v>
      </c>
      <c r="B130" s="47">
        <v>0.66666666699999999</v>
      </c>
      <c r="E130" s="42"/>
      <c r="F130" s="43"/>
      <c r="G130" s="44"/>
    </row>
    <row r="131" spans="1:7" x14ac:dyDescent="0.25">
      <c r="A131" s="46">
        <v>43418.423611111109</v>
      </c>
      <c r="B131" s="47">
        <v>2</v>
      </c>
      <c r="E131" s="42"/>
      <c r="F131" s="43"/>
      <c r="G131" s="44"/>
    </row>
    <row r="132" spans="1:7" x14ac:dyDescent="0.25">
      <c r="A132" s="46">
        <v>43432.331944444442</v>
      </c>
      <c r="B132" s="47">
        <v>2</v>
      </c>
      <c r="E132" s="42"/>
      <c r="F132" s="43"/>
      <c r="G132" s="44"/>
    </row>
    <row r="133" spans="1:7" x14ac:dyDescent="0.25">
      <c r="A133" s="46">
        <v>43446.429861111108</v>
      </c>
      <c r="B133" s="47">
        <v>0.66666666699999999</v>
      </c>
      <c r="E133" s="42"/>
      <c r="F133" s="43"/>
      <c r="G133" s="44"/>
    </row>
    <row r="134" spans="1:7" x14ac:dyDescent="0.25">
      <c r="A134" s="46">
        <v>43451.475694444445</v>
      </c>
      <c r="B134" s="47">
        <v>4</v>
      </c>
      <c r="E134" s="42"/>
      <c r="F134" s="43"/>
      <c r="G134" s="44"/>
    </row>
    <row r="135" spans="1:7" x14ac:dyDescent="0.25">
      <c r="A135" s="46">
        <v>43474.425000000003</v>
      </c>
      <c r="B135" s="47">
        <v>0.66666666699999999</v>
      </c>
      <c r="E135" s="42"/>
      <c r="F135" s="43"/>
      <c r="G135" s="44"/>
    </row>
    <row r="136" spans="1:7" x14ac:dyDescent="0.25">
      <c r="A136" s="46">
        <v>43479.42291666667</v>
      </c>
      <c r="B136" s="47">
        <v>90</v>
      </c>
      <c r="E136" s="42"/>
      <c r="F136" s="43"/>
      <c r="G136" s="44"/>
    </row>
    <row r="137" spans="1:7" x14ac:dyDescent="0.25">
      <c r="A137" s="46">
        <v>43483.632638888892</v>
      </c>
      <c r="B137" s="47">
        <v>3.3333333330000001</v>
      </c>
      <c r="E137" s="42"/>
      <c r="F137" s="43"/>
      <c r="G137" s="44"/>
    </row>
    <row r="138" spans="1:7" x14ac:dyDescent="0.25">
      <c r="A138" s="46">
        <v>43488.422222222223</v>
      </c>
      <c r="B138" s="47">
        <v>6</v>
      </c>
      <c r="E138" s="42"/>
      <c r="F138" s="43"/>
      <c r="G138" s="44"/>
    </row>
    <row r="139" spans="1:7" x14ac:dyDescent="0.25">
      <c r="A139" s="46">
        <v>43502.444444444445</v>
      </c>
      <c r="B139" s="47">
        <v>0.66666666699999999</v>
      </c>
      <c r="E139" s="42"/>
      <c r="F139" s="43"/>
      <c r="G139" s="44"/>
    </row>
    <row r="140" spans="1:7" x14ac:dyDescent="0.25">
      <c r="A140" s="46">
        <v>43516.445138888892</v>
      </c>
      <c r="B140" s="47">
        <v>0.66666666699999999</v>
      </c>
      <c r="E140" s="42"/>
      <c r="F140" s="43"/>
      <c r="G140" s="44"/>
    </row>
    <row r="141" spans="1:7" x14ac:dyDescent="0.25">
      <c r="A141" s="46">
        <v>43530.429166666669</v>
      </c>
      <c r="B141" s="47">
        <v>4</v>
      </c>
    </row>
    <row r="142" spans="1:7" x14ac:dyDescent="0.25">
      <c r="A142" s="46">
        <v>43544</v>
      </c>
      <c r="B142" s="47">
        <v>48</v>
      </c>
    </row>
    <row r="143" spans="1:7" x14ac:dyDescent="0.25">
      <c r="A143" s="46">
        <v>43558</v>
      </c>
      <c r="B143" s="47">
        <v>4</v>
      </c>
    </row>
    <row r="144" spans="1:7" x14ac:dyDescent="0.25">
      <c r="A144" s="46">
        <v>43571</v>
      </c>
      <c r="B144" s="47">
        <v>0.66666666699999999</v>
      </c>
    </row>
    <row r="145" spans="1:2" x14ac:dyDescent="0.25">
      <c r="A145" s="46">
        <v>43587</v>
      </c>
      <c r="B145" s="47">
        <v>4</v>
      </c>
    </row>
    <row r="146" spans="1:2" x14ac:dyDescent="0.25">
      <c r="A146" s="46">
        <v>43600</v>
      </c>
      <c r="B146" s="47">
        <v>0.66666666699999999</v>
      </c>
    </row>
    <row r="147" spans="1:2" x14ac:dyDescent="0.25">
      <c r="A147" s="46">
        <v>43614</v>
      </c>
      <c r="B147" s="47">
        <v>0.66666666699999999</v>
      </c>
    </row>
    <row r="148" spans="1:2" x14ac:dyDescent="0.25">
      <c r="A148" s="46">
        <v>43628</v>
      </c>
      <c r="B148" s="47">
        <v>150</v>
      </c>
    </row>
    <row r="149" spans="1:2" x14ac:dyDescent="0.25">
      <c r="A149" s="46">
        <v>43642</v>
      </c>
      <c r="B149" s="47">
        <v>4</v>
      </c>
    </row>
    <row r="150" spans="1:2" x14ac:dyDescent="0.25">
      <c r="A150" s="46">
        <v>43656</v>
      </c>
      <c r="B150" s="47">
        <v>2</v>
      </c>
    </row>
    <row r="151" spans="1:2" x14ac:dyDescent="0.25">
      <c r="A151" s="46">
        <v>43670</v>
      </c>
      <c r="B151" s="47">
        <v>2000</v>
      </c>
    </row>
    <row r="152" spans="1:2" x14ac:dyDescent="0.25">
      <c r="A152" s="46">
        <v>43683</v>
      </c>
      <c r="B152" s="47">
        <v>160</v>
      </c>
    </row>
    <row r="153" spans="1:2" x14ac:dyDescent="0.25">
      <c r="A153" s="46">
        <v>43698</v>
      </c>
      <c r="B153" s="47">
        <v>0.66666666699999999</v>
      </c>
    </row>
    <row r="154" spans="1:2" x14ac:dyDescent="0.25">
      <c r="A154" s="46">
        <v>43740</v>
      </c>
      <c r="B154" s="47">
        <v>0.66666666699999999</v>
      </c>
    </row>
    <row r="155" spans="1:2" x14ac:dyDescent="0.25">
      <c r="A155" s="46">
        <v>43754</v>
      </c>
      <c r="B155" s="47">
        <v>22</v>
      </c>
    </row>
    <row r="156" spans="1:2" x14ac:dyDescent="0.25">
      <c r="A156" s="46">
        <v>43768</v>
      </c>
      <c r="B156" s="47">
        <v>6</v>
      </c>
    </row>
    <row r="157" spans="1:2" x14ac:dyDescent="0.25">
      <c r="A157" s="46">
        <v>43782</v>
      </c>
      <c r="B157" s="47">
        <v>0.66666666699999999</v>
      </c>
    </row>
    <row r="158" spans="1:2" x14ac:dyDescent="0.25">
      <c r="A158" s="46">
        <v>43796</v>
      </c>
      <c r="B158" s="47">
        <v>0.66666666699999999</v>
      </c>
    </row>
    <row r="159" spans="1:2" x14ac:dyDescent="0.25">
      <c r="A159" s="46">
        <v>43803</v>
      </c>
      <c r="B159" s="47">
        <v>2</v>
      </c>
    </row>
    <row r="160" spans="1:2" x14ac:dyDescent="0.25">
      <c r="A160" s="49">
        <v>43810</v>
      </c>
      <c r="B160" s="48">
        <v>6</v>
      </c>
    </row>
    <row r="161" spans="1:2" x14ac:dyDescent="0.25">
      <c r="A161" s="49">
        <v>43810</v>
      </c>
      <c r="B161" s="48">
        <v>2</v>
      </c>
    </row>
    <row r="162" spans="1:2" x14ac:dyDescent="0.25">
      <c r="A162" s="49">
        <v>43817</v>
      </c>
      <c r="B162" s="48">
        <v>19</v>
      </c>
    </row>
    <row r="163" spans="1:2" x14ac:dyDescent="0.25">
      <c r="A163" s="49">
        <v>43821</v>
      </c>
      <c r="B163" s="48">
        <v>32</v>
      </c>
    </row>
    <row r="164" spans="1:2" x14ac:dyDescent="0.25">
      <c r="A164" s="49">
        <v>43832</v>
      </c>
      <c r="B164" s="48">
        <v>1</v>
      </c>
    </row>
    <row r="165" spans="1:2" x14ac:dyDescent="0.25">
      <c r="A165" s="49">
        <v>43838</v>
      </c>
      <c r="B165" s="48">
        <v>0.66666599999999998</v>
      </c>
    </row>
    <row r="166" spans="1:2" x14ac:dyDescent="0.25">
      <c r="A166" s="49">
        <v>43838</v>
      </c>
      <c r="B166" s="48">
        <v>1</v>
      </c>
    </row>
    <row r="167" spans="1:2" x14ac:dyDescent="0.25">
      <c r="A167" s="49">
        <v>43852</v>
      </c>
      <c r="B167" s="48">
        <v>0.66666599999999998</v>
      </c>
    </row>
    <row r="168" spans="1:2" x14ac:dyDescent="0.25">
      <c r="A168" s="49">
        <v>43866</v>
      </c>
      <c r="B168" s="48">
        <v>2</v>
      </c>
    </row>
    <row r="169" spans="1:2" x14ac:dyDescent="0.25">
      <c r="A169" s="49">
        <v>43866</v>
      </c>
      <c r="B169" s="48">
        <v>1</v>
      </c>
    </row>
    <row r="170" spans="1:2" x14ac:dyDescent="0.25">
      <c r="A170" s="49">
        <v>43880</v>
      </c>
      <c r="B170" s="48">
        <v>0.66666599999999998</v>
      </c>
    </row>
    <row r="171" spans="1:2" x14ac:dyDescent="0.25">
      <c r="A171" s="49">
        <v>43894</v>
      </c>
      <c r="B171" s="48">
        <v>6</v>
      </c>
    </row>
    <row r="172" spans="1:2" x14ac:dyDescent="0.25">
      <c r="A172" s="49">
        <v>43908</v>
      </c>
      <c r="B172" s="48">
        <v>2</v>
      </c>
    </row>
    <row r="173" spans="1:2" x14ac:dyDescent="0.25">
      <c r="A173" s="49">
        <v>43992</v>
      </c>
      <c r="B173" s="48">
        <v>68</v>
      </c>
    </row>
    <row r="174" spans="1:2" x14ac:dyDescent="0.25">
      <c r="A174" s="49">
        <v>44007</v>
      </c>
      <c r="B174" s="48">
        <v>44</v>
      </c>
    </row>
    <row r="175" spans="1:2" x14ac:dyDescent="0.25">
      <c r="A175" s="49">
        <v>44020</v>
      </c>
      <c r="B175" s="47">
        <v>0.22184874961635634</v>
      </c>
    </row>
    <row r="176" spans="1:2" x14ac:dyDescent="0.25">
      <c r="A176" s="49">
        <v>44034</v>
      </c>
      <c r="B176" s="48">
        <v>16</v>
      </c>
    </row>
    <row r="177" spans="1:2" x14ac:dyDescent="0.25">
      <c r="A177" s="49">
        <v>44048</v>
      </c>
      <c r="B177" s="48">
        <v>4</v>
      </c>
    </row>
    <row r="178" spans="1:2" x14ac:dyDescent="0.25">
      <c r="A178" s="49">
        <v>44062</v>
      </c>
      <c r="B178" s="48">
        <v>2</v>
      </c>
    </row>
    <row r="179" spans="1:2" x14ac:dyDescent="0.25">
      <c r="A179" s="49">
        <v>44076</v>
      </c>
      <c r="B179" s="48">
        <v>4</v>
      </c>
    </row>
    <row r="180" spans="1:2" x14ac:dyDescent="0.25">
      <c r="A180" s="49">
        <v>44090</v>
      </c>
      <c r="B180" s="48">
        <v>8</v>
      </c>
    </row>
    <row r="181" spans="1:2" x14ac:dyDescent="0.25">
      <c r="A181" s="49">
        <v>44118</v>
      </c>
      <c r="B181" s="48">
        <v>4</v>
      </c>
    </row>
    <row r="182" spans="1:2" x14ac:dyDescent="0.25">
      <c r="A182" s="49">
        <v>44132</v>
      </c>
      <c r="B182" s="48">
        <f>2/3</f>
        <v>0.66666666666666663</v>
      </c>
    </row>
    <row r="183" spans="1:2" x14ac:dyDescent="0.25">
      <c r="A183" s="49">
        <v>44146</v>
      </c>
      <c r="B183" s="48">
        <f>2/3</f>
        <v>0.66666666666666663</v>
      </c>
    </row>
    <row r="184" spans="1:2" x14ac:dyDescent="0.25">
      <c r="A184" s="49">
        <v>44160</v>
      </c>
      <c r="B184" s="48">
        <v>10</v>
      </c>
    </row>
    <row r="185" spans="1:2" x14ac:dyDescent="0.25">
      <c r="A185" s="49">
        <v>44173</v>
      </c>
      <c r="B185" s="48">
        <v>1</v>
      </c>
    </row>
    <row r="186" spans="1:2" x14ac:dyDescent="0.25">
      <c r="A186" s="49">
        <v>44174</v>
      </c>
      <c r="B186" s="48">
        <f>2/3</f>
        <v>0.66666666666666663</v>
      </c>
    </row>
    <row r="187" spans="1:2" x14ac:dyDescent="0.25">
      <c r="A187" s="49">
        <v>44180</v>
      </c>
      <c r="B187" s="48">
        <v>1</v>
      </c>
    </row>
    <row r="188" spans="1:2" x14ac:dyDescent="0.25">
      <c r="A188" s="49">
        <v>44188</v>
      </c>
      <c r="B188" s="48">
        <v>10</v>
      </c>
    </row>
    <row r="189" spans="1:2" x14ac:dyDescent="0.25">
      <c r="A189" s="49">
        <v>44202</v>
      </c>
      <c r="B189" s="48">
        <f>2/3</f>
        <v>0.66666666666666663</v>
      </c>
    </row>
    <row r="190" spans="1:2" x14ac:dyDescent="0.25">
      <c r="A190" s="49">
        <v>44223</v>
      </c>
      <c r="B190" s="48">
        <v>3</v>
      </c>
    </row>
    <row r="191" spans="1:2" x14ac:dyDescent="0.25">
      <c r="A191" s="49">
        <v>44230</v>
      </c>
      <c r="B191" s="48">
        <v>2</v>
      </c>
    </row>
    <row r="192" spans="1:2" x14ac:dyDescent="0.25">
      <c r="A192" s="49">
        <v>44244</v>
      </c>
      <c r="B192" s="48">
        <f>2/3</f>
        <v>0.66666666666666663</v>
      </c>
    </row>
    <row r="193" spans="1:2" x14ac:dyDescent="0.25">
      <c r="A193" s="49">
        <v>44258</v>
      </c>
      <c r="B193" s="48">
        <v>6</v>
      </c>
    </row>
    <row r="194" spans="1:2" x14ac:dyDescent="0.25">
      <c r="A194" s="49">
        <v>44272</v>
      </c>
      <c r="B194" s="48">
        <v>2</v>
      </c>
    </row>
    <row r="195" spans="1:2" x14ac:dyDescent="0.25">
      <c r="A195" s="49">
        <v>44300</v>
      </c>
      <c r="B195" s="48">
        <f>2/3</f>
        <v>0.66666666666666663</v>
      </c>
    </row>
    <row r="196" spans="1:2" x14ac:dyDescent="0.25">
      <c r="A196" s="49">
        <v>44314</v>
      </c>
      <c r="B196" s="48">
        <v>20</v>
      </c>
    </row>
    <row r="197" spans="1:2" x14ac:dyDescent="0.25">
      <c r="A197" s="49">
        <v>44321</v>
      </c>
    </row>
    <row r="198" spans="1:2" x14ac:dyDescent="0.25">
      <c r="A198" s="49">
        <v>44328</v>
      </c>
      <c r="B198" s="48">
        <v>32</v>
      </c>
    </row>
    <row r="199" spans="1:2" x14ac:dyDescent="0.25">
      <c r="A199" s="49">
        <v>44384</v>
      </c>
      <c r="B199" s="48">
        <v>26</v>
      </c>
    </row>
    <row r="200" spans="1:2" x14ac:dyDescent="0.25">
      <c r="A200" s="49">
        <v>44412</v>
      </c>
      <c r="B200" s="48">
        <f>5000*3</f>
        <v>15000</v>
      </c>
    </row>
    <row r="201" spans="1:2" x14ac:dyDescent="0.25">
      <c r="A201" s="49">
        <v>44426</v>
      </c>
      <c r="B201" s="48">
        <v>700</v>
      </c>
    </row>
    <row r="202" spans="1:2" x14ac:dyDescent="0.25">
      <c r="A202" s="49">
        <v>44454</v>
      </c>
      <c r="B202" s="48">
        <v>10</v>
      </c>
    </row>
    <row r="203" spans="1:2" x14ac:dyDescent="0.25">
      <c r="A203" s="49">
        <v>44468</v>
      </c>
      <c r="B203" s="48">
        <v>28</v>
      </c>
    </row>
    <row r="204" spans="1:2" x14ac:dyDescent="0.25">
      <c r="A204" s="49">
        <v>44482</v>
      </c>
      <c r="B204" s="48">
        <v>48</v>
      </c>
    </row>
    <row r="205" spans="1:2" x14ac:dyDescent="0.25">
      <c r="A205" s="49">
        <v>44496</v>
      </c>
      <c r="B205" s="48">
        <v>14</v>
      </c>
    </row>
    <row r="206" spans="1:2" x14ac:dyDescent="0.25">
      <c r="A206" s="49">
        <v>44510</v>
      </c>
      <c r="B206" s="48">
        <v>3</v>
      </c>
    </row>
    <row r="207" spans="1:2" x14ac:dyDescent="0.25">
      <c r="A207" s="49">
        <v>44524</v>
      </c>
      <c r="B207" s="48">
        <f>10/3</f>
        <v>3.3333333333333335</v>
      </c>
    </row>
    <row r="208" spans="1:2" x14ac:dyDescent="0.25">
      <c r="A208" s="49">
        <v>44525</v>
      </c>
      <c r="B208" s="48">
        <v>1</v>
      </c>
    </row>
    <row r="209" spans="1:2" x14ac:dyDescent="0.25">
      <c r="A209" s="49">
        <v>44531</v>
      </c>
      <c r="B209" s="48">
        <v>1</v>
      </c>
    </row>
    <row r="210" spans="1:2" x14ac:dyDescent="0.25">
      <c r="A210" s="49">
        <v>44538</v>
      </c>
      <c r="B210" s="48">
        <f>10/3</f>
        <v>3.3333333333333335</v>
      </c>
    </row>
    <row r="211" spans="1:2" x14ac:dyDescent="0.25">
      <c r="A211" s="49">
        <v>44538</v>
      </c>
      <c r="B211" s="48">
        <v>1</v>
      </c>
    </row>
    <row r="212" spans="1:2" x14ac:dyDescent="0.25">
      <c r="A212" s="49">
        <v>44552</v>
      </c>
      <c r="B212" s="48">
        <v>650</v>
      </c>
    </row>
    <row r="213" spans="1:2" x14ac:dyDescent="0.25">
      <c r="A213" s="49">
        <v>44552</v>
      </c>
      <c r="B213" s="48">
        <v>1</v>
      </c>
    </row>
    <row r="214" spans="1:2" x14ac:dyDescent="0.25">
      <c r="A214" s="49">
        <v>44565</v>
      </c>
      <c r="B214" s="48">
        <v>2</v>
      </c>
    </row>
    <row r="215" spans="1:2" x14ac:dyDescent="0.25">
      <c r="A215" s="49">
        <v>44566</v>
      </c>
      <c r="B215" s="48">
        <v>10</v>
      </c>
    </row>
    <row r="216" spans="1:2" x14ac:dyDescent="0.25">
      <c r="A216" s="49">
        <v>44573</v>
      </c>
      <c r="B216" s="48">
        <v>2</v>
      </c>
    </row>
    <row r="217" spans="1:2" x14ac:dyDescent="0.25">
      <c r="A217" s="49">
        <v>44576</v>
      </c>
      <c r="B217" s="48">
        <v>9</v>
      </c>
    </row>
    <row r="218" spans="1:2" x14ac:dyDescent="0.25">
      <c r="A218" s="49">
        <v>44580</v>
      </c>
      <c r="B218" s="48">
        <v>940</v>
      </c>
    </row>
    <row r="219" spans="1:2" x14ac:dyDescent="0.25">
      <c r="A219" s="49">
        <v>44581</v>
      </c>
      <c r="B219" s="48">
        <v>6</v>
      </c>
    </row>
    <row r="220" spans="1:2" x14ac:dyDescent="0.25">
      <c r="A220" s="49">
        <v>44594</v>
      </c>
      <c r="B220" s="48">
        <v>90</v>
      </c>
    </row>
    <row r="221" spans="1:2" x14ac:dyDescent="0.25">
      <c r="A221" s="49">
        <v>44636</v>
      </c>
      <c r="B221" s="48">
        <v>31</v>
      </c>
    </row>
    <row r="222" spans="1:2" x14ac:dyDescent="0.25">
      <c r="A222" s="49">
        <v>44664</v>
      </c>
      <c r="B222" s="48">
        <v>1497</v>
      </c>
    </row>
    <row r="223" spans="1:2" x14ac:dyDescent="0.25">
      <c r="A223" s="49">
        <v>44679</v>
      </c>
      <c r="B223" s="48">
        <v>20</v>
      </c>
    </row>
    <row r="224" spans="1:2" x14ac:dyDescent="0.25">
      <c r="A224" s="49">
        <v>44692</v>
      </c>
      <c r="B224" s="48">
        <v>20</v>
      </c>
    </row>
    <row r="225" spans="1:2" x14ac:dyDescent="0.25">
      <c r="A225" s="49">
        <v>44706</v>
      </c>
      <c r="B225" s="48">
        <v>17</v>
      </c>
    </row>
    <row r="226" spans="1:2" x14ac:dyDescent="0.25">
      <c r="A226" s="49">
        <v>44720</v>
      </c>
      <c r="B226" s="48">
        <v>166</v>
      </c>
    </row>
    <row r="227" spans="1:2" x14ac:dyDescent="0.25">
      <c r="A227" s="49">
        <v>44734</v>
      </c>
      <c r="B227" s="48">
        <f>1/3</f>
        <v>0.33333333333333331</v>
      </c>
    </row>
    <row r="228" spans="1:2" x14ac:dyDescent="0.25">
      <c r="A228" s="49">
        <v>44748</v>
      </c>
      <c r="B228" s="48">
        <v>3</v>
      </c>
    </row>
    <row r="229" spans="1:2" x14ac:dyDescent="0.25">
      <c r="A229" s="49">
        <v>44792</v>
      </c>
      <c r="B229" s="48">
        <v>10</v>
      </c>
    </row>
    <row r="230" spans="1:2" x14ac:dyDescent="0.25">
      <c r="A230" s="49">
        <v>44804</v>
      </c>
      <c r="B230" s="48">
        <v>90</v>
      </c>
    </row>
    <row r="231" spans="1:2" x14ac:dyDescent="0.25">
      <c r="A231" s="49">
        <v>44818</v>
      </c>
      <c r="B231" s="48">
        <v>10</v>
      </c>
    </row>
    <row r="232" spans="1:2" x14ac:dyDescent="0.25">
      <c r="A232" s="49">
        <v>44909</v>
      </c>
      <c r="B232" s="48">
        <v>2</v>
      </c>
    </row>
    <row r="233" spans="1:2" x14ac:dyDescent="0.25">
      <c r="A233" s="49">
        <v>44915</v>
      </c>
      <c r="B233" s="48">
        <v>11</v>
      </c>
    </row>
    <row r="234" spans="1:2" x14ac:dyDescent="0.25">
      <c r="A234" s="49">
        <v>44930</v>
      </c>
      <c r="B234" s="51">
        <v>3</v>
      </c>
    </row>
    <row r="235" spans="1:2" x14ac:dyDescent="0.25">
      <c r="A235" s="52">
        <v>44932</v>
      </c>
      <c r="B235" s="51">
        <v>7</v>
      </c>
    </row>
    <row r="236" spans="1:2" x14ac:dyDescent="0.25">
      <c r="A236" s="49">
        <v>44936</v>
      </c>
      <c r="B236" s="51">
        <v>10</v>
      </c>
    </row>
    <row r="237" spans="1:2" x14ac:dyDescent="0.25">
      <c r="A237" s="49">
        <v>44944</v>
      </c>
      <c r="B237" s="51">
        <v>3500</v>
      </c>
    </row>
    <row r="238" spans="1:2" x14ac:dyDescent="0.25">
      <c r="A238" s="49">
        <v>44946</v>
      </c>
      <c r="B238" s="51">
        <v>14</v>
      </c>
    </row>
    <row r="239" spans="1:2" x14ac:dyDescent="0.25">
      <c r="A239" s="49">
        <v>44950</v>
      </c>
      <c r="B239" s="51">
        <v>31</v>
      </c>
    </row>
    <row r="240" spans="1:2" x14ac:dyDescent="0.25">
      <c r="A240" s="49">
        <v>44950</v>
      </c>
      <c r="B240" s="51">
        <v>8</v>
      </c>
    </row>
    <row r="241" spans="1:2" x14ac:dyDescent="0.25">
      <c r="A241" s="52">
        <v>44958</v>
      </c>
      <c r="B241" s="51">
        <v>39</v>
      </c>
    </row>
    <row r="242" spans="1:2" x14ac:dyDescent="0.25">
      <c r="A242" s="52">
        <v>44972</v>
      </c>
      <c r="B242" s="48">
        <v>31</v>
      </c>
    </row>
    <row r="243" spans="1:2" x14ac:dyDescent="0.25">
      <c r="A243" s="52">
        <v>45000</v>
      </c>
      <c r="B243" s="48">
        <v>72</v>
      </c>
    </row>
    <row r="244" spans="1:2" x14ac:dyDescent="0.25">
      <c r="A244" s="49">
        <v>45028</v>
      </c>
      <c r="B244" s="51">
        <v>10</v>
      </c>
    </row>
    <row r="245" spans="1:2" x14ac:dyDescent="0.25">
      <c r="A245" s="49">
        <v>45042</v>
      </c>
      <c r="B245" s="51">
        <v>49</v>
      </c>
    </row>
    <row r="246" spans="1:2" x14ac:dyDescent="0.25">
      <c r="A246" s="52">
        <v>45056</v>
      </c>
      <c r="B246" s="51">
        <v>162</v>
      </c>
    </row>
    <row r="247" spans="1:2" x14ac:dyDescent="0.25">
      <c r="A247" s="52">
        <v>45070</v>
      </c>
      <c r="B247" s="51">
        <v>184</v>
      </c>
    </row>
    <row r="248" spans="1:2" x14ac:dyDescent="0.25">
      <c r="A248" s="52">
        <v>45112</v>
      </c>
      <c r="B248" s="51">
        <v>45</v>
      </c>
    </row>
    <row r="249" spans="1:2" x14ac:dyDescent="0.25">
      <c r="A249" s="52">
        <v>45126</v>
      </c>
      <c r="B249" s="51">
        <v>35</v>
      </c>
    </row>
    <row r="250" spans="1:2" x14ac:dyDescent="0.25">
      <c r="A250" s="52">
        <v>45156</v>
      </c>
      <c r="B250" s="51">
        <v>3</v>
      </c>
    </row>
    <row r="251" spans="1:2" x14ac:dyDescent="0.25">
      <c r="A251" s="52">
        <v>45168</v>
      </c>
      <c r="B251" s="51">
        <v>32</v>
      </c>
    </row>
    <row r="252" spans="1:2" x14ac:dyDescent="0.25">
      <c r="A252" s="52">
        <v>45182</v>
      </c>
      <c r="B252" s="51">
        <v>19</v>
      </c>
    </row>
    <row r="253" spans="1:2" x14ac:dyDescent="0.25">
      <c r="A253" s="52">
        <v>45196</v>
      </c>
      <c r="B253" s="51">
        <v>5</v>
      </c>
    </row>
    <row r="254" spans="1:2" x14ac:dyDescent="0.25">
      <c r="A254" s="52">
        <v>45210</v>
      </c>
      <c r="B254" s="51">
        <v>41</v>
      </c>
    </row>
    <row r="255" spans="1:2" x14ac:dyDescent="0.25">
      <c r="A255" s="52">
        <v>45224</v>
      </c>
      <c r="B255" s="51">
        <v>1986</v>
      </c>
    </row>
    <row r="256" spans="1:2" x14ac:dyDescent="0.25">
      <c r="A256" s="52">
        <v>45238</v>
      </c>
      <c r="B256" s="51">
        <v>5</v>
      </c>
    </row>
    <row r="257" spans="1:2" x14ac:dyDescent="0.25">
      <c r="A257" s="52">
        <v>45254</v>
      </c>
      <c r="B257" s="51">
        <v>31</v>
      </c>
    </row>
    <row r="258" spans="1:2" x14ac:dyDescent="0.25">
      <c r="A258" s="52">
        <v>45308</v>
      </c>
      <c r="B258" s="48">
        <f>10/3</f>
        <v>3.3333333333333335</v>
      </c>
    </row>
    <row r="259" spans="1:2" x14ac:dyDescent="0.25">
      <c r="A259" s="52">
        <v>45314</v>
      </c>
      <c r="B259" s="48">
        <v>1</v>
      </c>
    </row>
    <row r="260" spans="1:2" x14ac:dyDescent="0.25">
      <c r="A260" s="52">
        <v>45322</v>
      </c>
      <c r="B260" s="48">
        <v>63</v>
      </c>
    </row>
    <row r="261" spans="1:2" x14ac:dyDescent="0.25">
      <c r="A261" s="52">
        <v>45336</v>
      </c>
      <c r="B261" s="48">
        <f>10/3</f>
        <v>3.3333333333333335</v>
      </c>
    </row>
    <row r="262" spans="1:2" x14ac:dyDescent="0.25">
      <c r="A262" s="52"/>
    </row>
  </sheetData>
  <sortState ref="A2:B261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5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197 B199:B217 B219:B24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4"/>
  <sheetViews>
    <sheetView workbookViewId="0">
      <pane ySplit="1" topLeftCell="A282" activePane="bottomLeft" state="frozen"/>
      <selection pane="bottomLeft" activeCell="B285" sqref="B285"/>
    </sheetView>
  </sheetViews>
  <sheetFormatPr defaultRowHeight="15" x14ac:dyDescent="0.25"/>
  <cols>
    <col min="1" max="1" width="34.5703125" style="46" customWidth="1"/>
    <col min="2" max="2" width="12" style="48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53" t="s">
        <v>0</v>
      </c>
      <c r="B1" s="41" t="s">
        <v>2</v>
      </c>
    </row>
    <row r="2" spans="1:7" x14ac:dyDescent="0.25">
      <c r="A2" s="46">
        <v>41641.349305555559</v>
      </c>
      <c r="B2" s="47">
        <v>4</v>
      </c>
      <c r="E2" s="42"/>
      <c r="F2" s="43"/>
      <c r="G2" s="44"/>
    </row>
    <row r="3" spans="1:7" x14ac:dyDescent="0.25">
      <c r="A3" s="46">
        <v>41654.447222222225</v>
      </c>
      <c r="B3" s="47">
        <v>16</v>
      </c>
      <c r="E3" s="42"/>
      <c r="F3" s="43"/>
      <c r="G3" s="44"/>
    </row>
    <row r="4" spans="1:7" x14ac:dyDescent="0.25">
      <c r="A4" s="46">
        <v>41668.436111111114</v>
      </c>
      <c r="B4" s="47">
        <v>8</v>
      </c>
      <c r="E4" s="42"/>
      <c r="F4" s="43"/>
      <c r="G4" s="44"/>
    </row>
    <row r="5" spans="1:7" x14ac:dyDescent="0.25">
      <c r="A5" s="46">
        <v>41682.427083333336</v>
      </c>
      <c r="B5" s="47">
        <v>46</v>
      </c>
      <c r="E5" s="42"/>
      <c r="F5" s="43"/>
      <c r="G5" s="44"/>
    </row>
    <row r="6" spans="1:7" x14ac:dyDescent="0.25">
      <c r="A6" s="46">
        <v>41696.4375</v>
      </c>
      <c r="B6" s="47">
        <v>0.33333333300000001</v>
      </c>
      <c r="E6" s="42"/>
      <c r="F6" s="43"/>
      <c r="G6" s="44"/>
    </row>
    <row r="7" spans="1:7" x14ac:dyDescent="0.25">
      <c r="A7" s="46">
        <v>41710.405555555553</v>
      </c>
      <c r="B7" s="47">
        <v>1</v>
      </c>
      <c r="E7" s="42"/>
      <c r="F7" s="43"/>
      <c r="G7" s="44"/>
    </row>
    <row r="8" spans="1:7" x14ac:dyDescent="0.25">
      <c r="A8" s="46">
        <v>41724.480555555558</v>
      </c>
      <c r="B8" s="47">
        <v>25</v>
      </c>
      <c r="E8" s="42"/>
      <c r="F8" s="43"/>
      <c r="G8" s="44"/>
    </row>
    <row r="9" spans="1:7" x14ac:dyDescent="0.25">
      <c r="A9" s="46">
        <v>41738.411111111112</v>
      </c>
      <c r="B9" s="47">
        <v>47</v>
      </c>
      <c r="E9" s="42"/>
      <c r="F9" s="43"/>
      <c r="G9" s="44"/>
    </row>
    <row r="10" spans="1:7" x14ac:dyDescent="0.25">
      <c r="A10" s="46">
        <v>41752.438194444447</v>
      </c>
      <c r="B10" s="47">
        <v>9</v>
      </c>
      <c r="E10" s="42"/>
      <c r="F10" s="43"/>
      <c r="G10" s="44"/>
    </row>
    <row r="11" spans="1:7" x14ac:dyDescent="0.25">
      <c r="A11" s="46">
        <v>41767.419444444444</v>
      </c>
      <c r="B11" s="47">
        <v>26</v>
      </c>
      <c r="E11" s="42"/>
      <c r="F11" s="43"/>
      <c r="G11" s="44"/>
    </row>
    <row r="12" spans="1:7" x14ac:dyDescent="0.25">
      <c r="A12" s="46">
        <v>41780.447916666664</v>
      </c>
      <c r="B12" s="47">
        <v>12</v>
      </c>
      <c r="E12" s="42"/>
      <c r="F12" s="43"/>
      <c r="G12" s="44"/>
    </row>
    <row r="13" spans="1:7" x14ac:dyDescent="0.25">
      <c r="A13" s="46">
        <v>41794.419444444444</v>
      </c>
      <c r="B13" s="47">
        <v>150</v>
      </c>
      <c r="E13" s="42"/>
      <c r="F13" s="43"/>
      <c r="G13" s="44"/>
    </row>
    <row r="14" spans="1:7" x14ac:dyDescent="0.25">
      <c r="A14" s="46">
        <v>41808.436805555553</v>
      </c>
      <c r="B14" s="47">
        <v>8</v>
      </c>
      <c r="E14" s="42"/>
      <c r="F14" s="43"/>
      <c r="G14" s="44"/>
    </row>
    <row r="15" spans="1:7" x14ac:dyDescent="0.25">
      <c r="A15" s="46">
        <v>41822.401388888888</v>
      </c>
      <c r="B15" s="47">
        <v>25</v>
      </c>
      <c r="E15" s="42"/>
      <c r="F15" s="43"/>
      <c r="G15" s="44"/>
    </row>
    <row r="16" spans="1:7" x14ac:dyDescent="0.25">
      <c r="A16" s="46">
        <v>41836.453472222223</v>
      </c>
      <c r="B16" s="47">
        <v>1</v>
      </c>
      <c r="E16" s="42"/>
      <c r="F16" s="43"/>
      <c r="G16" s="44"/>
    </row>
    <row r="17" spans="1:7" x14ac:dyDescent="0.25">
      <c r="A17" s="46">
        <v>41850.423611111109</v>
      </c>
      <c r="B17" s="47">
        <v>11</v>
      </c>
      <c r="E17" s="42"/>
      <c r="F17" s="43"/>
      <c r="G17" s="44"/>
    </row>
    <row r="18" spans="1:7" x14ac:dyDescent="0.25">
      <c r="A18" s="46">
        <v>41864.415972222225</v>
      </c>
      <c r="B18" s="47">
        <v>2</v>
      </c>
      <c r="E18" s="42"/>
      <c r="F18" s="43"/>
      <c r="G18" s="44"/>
    </row>
    <row r="19" spans="1:7" x14ac:dyDescent="0.25">
      <c r="A19" s="46">
        <v>41878.435416666667</v>
      </c>
      <c r="B19" s="47">
        <v>800</v>
      </c>
      <c r="E19" s="42"/>
      <c r="F19" s="43"/>
      <c r="G19" s="44"/>
    </row>
    <row r="20" spans="1:7" x14ac:dyDescent="0.25">
      <c r="A20" s="46">
        <v>41892.39166666667</v>
      </c>
      <c r="B20" s="47">
        <v>1</v>
      </c>
      <c r="E20" s="42"/>
      <c r="F20" s="43"/>
      <c r="G20" s="44"/>
    </row>
    <row r="21" spans="1:7" x14ac:dyDescent="0.25">
      <c r="A21" s="46">
        <v>41907.424305555556</v>
      </c>
      <c r="B21" s="47">
        <v>0.33333333300000001</v>
      </c>
      <c r="E21" s="42"/>
      <c r="F21" s="43"/>
      <c r="G21" s="44"/>
    </row>
    <row r="22" spans="1:7" x14ac:dyDescent="0.25">
      <c r="A22" s="46">
        <v>41920.42083333333</v>
      </c>
      <c r="B22" s="47">
        <v>10</v>
      </c>
      <c r="E22" s="42"/>
      <c r="F22" s="43"/>
      <c r="G22" s="44"/>
    </row>
    <row r="23" spans="1:7" x14ac:dyDescent="0.25">
      <c r="A23" s="46">
        <v>41934.419444444444</v>
      </c>
      <c r="B23" s="47">
        <v>1</v>
      </c>
      <c r="E23" s="42"/>
      <c r="F23" s="43"/>
      <c r="G23" s="44"/>
    </row>
    <row r="24" spans="1:7" x14ac:dyDescent="0.25">
      <c r="A24" s="46">
        <v>41948.431250000001</v>
      </c>
      <c r="B24" s="47">
        <v>0.33333333300000001</v>
      </c>
      <c r="E24" s="42"/>
      <c r="F24" s="43"/>
      <c r="G24" s="44"/>
    </row>
    <row r="25" spans="1:7" x14ac:dyDescent="0.25">
      <c r="A25" s="46">
        <v>41962.40625</v>
      </c>
      <c r="B25" s="47">
        <v>6</v>
      </c>
      <c r="E25" s="42"/>
      <c r="F25" s="43"/>
      <c r="G25" s="44"/>
    </row>
    <row r="26" spans="1:7" x14ac:dyDescent="0.25">
      <c r="A26" s="46">
        <v>41976.429166666669</v>
      </c>
      <c r="B26" s="47">
        <v>1</v>
      </c>
      <c r="E26" s="42"/>
      <c r="F26" s="43"/>
      <c r="G26" s="44"/>
    </row>
    <row r="27" spans="1:7" x14ac:dyDescent="0.25">
      <c r="A27" s="46">
        <v>41988</v>
      </c>
      <c r="B27" s="47">
        <v>0.33333333300000001</v>
      </c>
      <c r="E27" s="42"/>
      <c r="F27" s="43"/>
      <c r="G27" s="44"/>
    </row>
    <row r="28" spans="1:7" x14ac:dyDescent="0.25">
      <c r="A28" s="46">
        <v>41990.35833333333</v>
      </c>
      <c r="B28" s="47">
        <v>0.33333333300000001</v>
      </c>
      <c r="E28" s="42"/>
      <c r="F28" s="43"/>
      <c r="G28" s="44"/>
    </row>
    <row r="29" spans="1:7" x14ac:dyDescent="0.25">
      <c r="A29" s="46">
        <v>42003.439583333333</v>
      </c>
      <c r="B29" s="47">
        <v>4</v>
      </c>
      <c r="E29" s="42"/>
      <c r="F29" s="43"/>
      <c r="G29" s="44"/>
    </row>
    <row r="30" spans="1:7" x14ac:dyDescent="0.25">
      <c r="A30" s="46">
        <v>42018.419444444444</v>
      </c>
      <c r="B30" s="47">
        <v>2</v>
      </c>
      <c r="E30" s="42"/>
      <c r="F30" s="43"/>
      <c r="G30" s="44"/>
    </row>
    <row r="31" spans="1:7" x14ac:dyDescent="0.25">
      <c r="A31" s="46">
        <v>42032.46875</v>
      </c>
      <c r="B31" s="47">
        <v>2</v>
      </c>
      <c r="E31" s="42"/>
      <c r="F31" s="43"/>
      <c r="G31" s="44"/>
    </row>
    <row r="32" spans="1:7" x14ac:dyDescent="0.25">
      <c r="A32" s="46">
        <v>42046.418055555558</v>
      </c>
      <c r="B32" s="47">
        <v>0.33333333300000001</v>
      </c>
      <c r="E32" s="42"/>
      <c r="F32" s="43"/>
      <c r="G32" s="44"/>
    </row>
    <row r="33" spans="1:7" x14ac:dyDescent="0.25">
      <c r="A33" s="46">
        <v>42060</v>
      </c>
      <c r="B33" s="47">
        <v>5</v>
      </c>
      <c r="E33" s="42"/>
      <c r="F33" s="43"/>
      <c r="G33" s="44"/>
    </row>
    <row r="34" spans="1:7" x14ac:dyDescent="0.25">
      <c r="A34" s="46">
        <v>42074.479861111111</v>
      </c>
      <c r="B34" s="47">
        <v>5</v>
      </c>
      <c r="E34" s="42"/>
      <c r="F34" s="43"/>
      <c r="G34" s="44"/>
    </row>
    <row r="35" spans="1:7" x14ac:dyDescent="0.25">
      <c r="A35" s="46">
        <v>42088</v>
      </c>
      <c r="B35" s="47">
        <v>1</v>
      </c>
      <c r="E35" s="42"/>
      <c r="F35" s="43"/>
      <c r="G35" s="44"/>
    </row>
    <row r="36" spans="1:7" x14ac:dyDescent="0.25">
      <c r="A36" s="46">
        <v>42102</v>
      </c>
      <c r="B36" s="47">
        <v>0.33333333300000001</v>
      </c>
      <c r="E36" s="42"/>
      <c r="F36" s="43"/>
      <c r="G36" s="44"/>
    </row>
    <row r="37" spans="1:7" x14ac:dyDescent="0.25">
      <c r="A37" s="46">
        <v>42116</v>
      </c>
      <c r="B37" s="47">
        <v>2</v>
      </c>
      <c r="E37" s="42"/>
      <c r="F37" s="43"/>
      <c r="G37" s="44"/>
    </row>
    <row r="38" spans="1:7" x14ac:dyDescent="0.25">
      <c r="A38" s="46">
        <v>42130</v>
      </c>
      <c r="B38" s="47">
        <v>52</v>
      </c>
      <c r="E38" s="42"/>
      <c r="F38" s="43"/>
      <c r="G38" s="44"/>
    </row>
    <row r="39" spans="1:7" x14ac:dyDescent="0.25">
      <c r="A39" s="46">
        <v>42144</v>
      </c>
      <c r="B39" s="47">
        <v>17</v>
      </c>
      <c r="E39" s="42"/>
      <c r="F39" s="43"/>
      <c r="G39" s="44"/>
    </row>
    <row r="40" spans="1:7" x14ac:dyDescent="0.25">
      <c r="A40" s="46">
        <v>42158</v>
      </c>
      <c r="B40" s="47">
        <v>2</v>
      </c>
      <c r="E40" s="42"/>
      <c r="F40" s="43"/>
      <c r="G40" s="44"/>
    </row>
    <row r="41" spans="1:7" x14ac:dyDescent="0.25">
      <c r="A41" s="46">
        <v>42172</v>
      </c>
      <c r="B41" s="47">
        <v>22</v>
      </c>
      <c r="E41" s="42"/>
      <c r="F41" s="43"/>
      <c r="G41" s="44"/>
    </row>
    <row r="42" spans="1:7" x14ac:dyDescent="0.25">
      <c r="A42" s="46">
        <v>42186</v>
      </c>
      <c r="B42" s="47">
        <v>6</v>
      </c>
      <c r="E42" s="42"/>
      <c r="F42" s="43"/>
      <c r="G42" s="44"/>
    </row>
    <row r="43" spans="1:7" x14ac:dyDescent="0.25">
      <c r="A43" s="46">
        <v>42200</v>
      </c>
      <c r="B43" s="47">
        <v>5</v>
      </c>
      <c r="E43" s="42"/>
      <c r="F43" s="43"/>
      <c r="G43" s="44"/>
    </row>
    <row r="44" spans="1:7" x14ac:dyDescent="0.25">
      <c r="A44" s="46">
        <v>42214</v>
      </c>
      <c r="B44" s="47">
        <v>62</v>
      </c>
      <c r="E44" s="42"/>
      <c r="F44" s="43"/>
      <c r="G44" s="44"/>
    </row>
    <row r="45" spans="1:7" x14ac:dyDescent="0.25">
      <c r="A45" s="46">
        <v>42228</v>
      </c>
      <c r="B45" s="47">
        <v>0.33333333300000001</v>
      </c>
      <c r="E45" s="42"/>
      <c r="F45" s="43"/>
      <c r="G45" s="44"/>
    </row>
    <row r="46" spans="1:7" x14ac:dyDescent="0.25">
      <c r="A46" s="46">
        <v>42242</v>
      </c>
      <c r="B46" s="47">
        <v>0.33333333300000001</v>
      </c>
      <c r="E46" s="42"/>
      <c r="F46" s="43"/>
      <c r="G46" s="44"/>
    </row>
    <row r="47" spans="1:7" x14ac:dyDescent="0.25">
      <c r="A47" s="46">
        <v>42256</v>
      </c>
      <c r="B47" s="47">
        <v>250</v>
      </c>
      <c r="E47" s="42"/>
      <c r="F47" s="43"/>
      <c r="G47" s="44"/>
    </row>
    <row r="48" spans="1:7" x14ac:dyDescent="0.25">
      <c r="A48" s="46">
        <v>42270</v>
      </c>
      <c r="B48" s="47">
        <v>2</v>
      </c>
      <c r="E48" s="42"/>
      <c r="F48" s="43"/>
      <c r="G48" s="44"/>
    </row>
    <row r="49" spans="1:7" x14ac:dyDescent="0.25">
      <c r="A49" s="46">
        <v>42284</v>
      </c>
      <c r="B49" s="47">
        <v>2</v>
      </c>
      <c r="E49" s="42"/>
      <c r="F49" s="43"/>
      <c r="G49" s="44"/>
    </row>
    <row r="50" spans="1:7" x14ac:dyDescent="0.25">
      <c r="A50" s="46">
        <v>42298</v>
      </c>
      <c r="B50" s="47">
        <v>3</v>
      </c>
      <c r="E50" s="42"/>
      <c r="F50" s="43"/>
      <c r="G50" s="44"/>
    </row>
    <row r="51" spans="1:7" x14ac:dyDescent="0.25">
      <c r="A51" s="46">
        <v>42312</v>
      </c>
      <c r="B51" s="47">
        <v>0.33333333300000001</v>
      </c>
      <c r="E51" s="42"/>
      <c r="F51" s="43"/>
      <c r="G51" s="44"/>
    </row>
    <row r="52" spans="1:7" x14ac:dyDescent="0.25">
      <c r="A52" s="46">
        <v>42326</v>
      </c>
      <c r="B52" s="47">
        <v>51</v>
      </c>
      <c r="E52" s="42"/>
      <c r="F52" s="43"/>
      <c r="G52" s="44"/>
    </row>
    <row r="53" spans="1:7" x14ac:dyDescent="0.25">
      <c r="A53" s="46">
        <v>42340</v>
      </c>
      <c r="B53" s="47">
        <v>0.33333333300000001</v>
      </c>
      <c r="E53" s="42"/>
      <c r="F53" s="43"/>
      <c r="G53" s="44"/>
    </row>
    <row r="54" spans="1:7" x14ac:dyDescent="0.25">
      <c r="A54" s="46">
        <v>42353</v>
      </c>
      <c r="B54" s="47">
        <v>7</v>
      </c>
      <c r="E54" s="42"/>
      <c r="F54" s="43"/>
      <c r="G54" s="44"/>
    </row>
    <row r="55" spans="1:7" x14ac:dyDescent="0.25">
      <c r="A55" s="46">
        <v>42368</v>
      </c>
      <c r="B55" s="47">
        <v>300</v>
      </c>
      <c r="E55" s="42"/>
      <c r="F55" s="43"/>
      <c r="G55" s="44"/>
    </row>
    <row r="56" spans="1:7" x14ac:dyDescent="0.25">
      <c r="A56" s="46">
        <v>42382</v>
      </c>
      <c r="B56" s="47">
        <v>25</v>
      </c>
      <c r="E56" s="42"/>
      <c r="F56" s="43"/>
      <c r="G56" s="44"/>
    </row>
    <row r="57" spans="1:7" x14ac:dyDescent="0.25">
      <c r="A57" s="46">
        <v>42396</v>
      </c>
      <c r="B57" s="47">
        <v>19</v>
      </c>
      <c r="E57" s="42"/>
      <c r="F57" s="43"/>
      <c r="G57" s="44"/>
    </row>
    <row r="58" spans="1:7" x14ac:dyDescent="0.25">
      <c r="A58" s="46">
        <v>42410</v>
      </c>
      <c r="B58" s="47">
        <v>81</v>
      </c>
      <c r="E58" s="42"/>
      <c r="F58" s="43"/>
      <c r="G58" s="44"/>
    </row>
    <row r="59" spans="1:7" x14ac:dyDescent="0.25">
      <c r="A59" s="46">
        <v>42424</v>
      </c>
      <c r="B59" s="47">
        <v>4</v>
      </c>
      <c r="E59" s="42"/>
      <c r="F59" s="43"/>
      <c r="G59" s="44"/>
    </row>
    <row r="60" spans="1:7" x14ac:dyDescent="0.25">
      <c r="A60" s="46">
        <v>42438</v>
      </c>
      <c r="B60" s="47">
        <v>8</v>
      </c>
      <c r="E60" s="42"/>
      <c r="F60" s="43"/>
      <c r="G60" s="44"/>
    </row>
    <row r="61" spans="1:7" x14ac:dyDescent="0.25">
      <c r="A61" s="46">
        <v>42451</v>
      </c>
      <c r="B61" s="47">
        <v>2</v>
      </c>
      <c r="E61" s="42"/>
      <c r="F61" s="43"/>
      <c r="G61" s="44"/>
    </row>
    <row r="62" spans="1:7" x14ac:dyDescent="0.25">
      <c r="A62" s="46">
        <v>42466</v>
      </c>
      <c r="B62" s="47">
        <v>1</v>
      </c>
      <c r="E62" s="42"/>
      <c r="F62" s="43"/>
      <c r="G62" s="44"/>
    </row>
    <row r="63" spans="1:7" x14ac:dyDescent="0.25">
      <c r="A63" s="46">
        <v>42480</v>
      </c>
      <c r="B63" s="47">
        <v>1</v>
      </c>
      <c r="E63" s="42"/>
      <c r="F63" s="43"/>
      <c r="G63" s="44"/>
    </row>
    <row r="64" spans="1:7" x14ac:dyDescent="0.25">
      <c r="A64" s="46">
        <v>42494</v>
      </c>
      <c r="B64" s="47">
        <v>34</v>
      </c>
      <c r="E64" s="42"/>
      <c r="F64" s="43"/>
      <c r="G64" s="44"/>
    </row>
    <row r="65" spans="1:7" x14ac:dyDescent="0.25">
      <c r="A65" s="46">
        <v>42508</v>
      </c>
      <c r="B65" s="47">
        <v>3</v>
      </c>
      <c r="E65" s="42"/>
      <c r="F65" s="43"/>
      <c r="G65" s="44"/>
    </row>
    <row r="66" spans="1:7" x14ac:dyDescent="0.25">
      <c r="A66" s="46">
        <v>42522</v>
      </c>
      <c r="B66" s="47">
        <v>6</v>
      </c>
      <c r="E66" s="42"/>
      <c r="F66" s="43"/>
      <c r="G66" s="44"/>
    </row>
    <row r="67" spans="1:7" x14ac:dyDescent="0.25">
      <c r="A67" s="46">
        <v>42536</v>
      </c>
      <c r="B67" s="47">
        <v>250</v>
      </c>
      <c r="E67" s="42"/>
      <c r="F67" s="43"/>
      <c r="G67" s="44"/>
    </row>
    <row r="68" spans="1:7" x14ac:dyDescent="0.25">
      <c r="A68" s="46">
        <v>42550</v>
      </c>
      <c r="B68" s="47">
        <v>10</v>
      </c>
      <c r="E68" s="42"/>
      <c r="F68" s="43"/>
      <c r="G68" s="44"/>
    </row>
    <row r="69" spans="1:7" x14ac:dyDescent="0.25">
      <c r="A69" s="46">
        <v>42564</v>
      </c>
      <c r="B69" s="47">
        <v>1</v>
      </c>
      <c r="E69" s="42"/>
      <c r="F69" s="43"/>
      <c r="G69" s="44"/>
    </row>
    <row r="70" spans="1:7" x14ac:dyDescent="0.25">
      <c r="A70" s="46">
        <v>42578</v>
      </c>
      <c r="B70" s="47">
        <v>47</v>
      </c>
      <c r="E70" s="42"/>
      <c r="F70" s="43"/>
      <c r="G70" s="44"/>
    </row>
    <row r="71" spans="1:7" x14ac:dyDescent="0.25">
      <c r="A71" s="46">
        <v>42592</v>
      </c>
      <c r="B71" s="47">
        <v>31</v>
      </c>
      <c r="E71" s="42"/>
      <c r="F71" s="43"/>
      <c r="G71" s="44"/>
    </row>
    <row r="72" spans="1:7" x14ac:dyDescent="0.25">
      <c r="A72" s="46">
        <v>42606</v>
      </c>
      <c r="B72" s="47">
        <v>3</v>
      </c>
      <c r="E72" s="42"/>
      <c r="F72" s="43"/>
      <c r="G72" s="44"/>
    </row>
    <row r="73" spans="1:7" x14ac:dyDescent="0.25">
      <c r="A73" s="46">
        <v>42620</v>
      </c>
      <c r="B73" s="47">
        <v>1</v>
      </c>
      <c r="E73" s="42"/>
      <c r="F73" s="43"/>
      <c r="G73" s="44"/>
    </row>
    <row r="74" spans="1:7" x14ac:dyDescent="0.25">
      <c r="A74" s="46">
        <v>42634</v>
      </c>
      <c r="B74" s="47">
        <v>6</v>
      </c>
      <c r="E74" s="42"/>
      <c r="F74" s="43"/>
      <c r="G74" s="44"/>
    </row>
    <row r="75" spans="1:7" x14ac:dyDescent="0.25">
      <c r="A75" s="46">
        <v>42648</v>
      </c>
      <c r="B75" s="47">
        <v>3</v>
      </c>
      <c r="E75" s="42"/>
      <c r="F75" s="43"/>
      <c r="G75" s="44"/>
    </row>
    <row r="76" spans="1:7" x14ac:dyDescent="0.25">
      <c r="A76" s="46">
        <v>42662</v>
      </c>
      <c r="B76" s="47">
        <v>0.33333333300000001</v>
      </c>
      <c r="E76" s="42"/>
      <c r="F76" s="43"/>
      <c r="G76" s="44"/>
    </row>
    <row r="77" spans="1:7" x14ac:dyDescent="0.25">
      <c r="A77" s="46">
        <v>42676</v>
      </c>
      <c r="B77" s="47">
        <v>0.33333333300000001</v>
      </c>
      <c r="E77" s="42"/>
      <c r="F77" s="43"/>
      <c r="G77" s="44"/>
    </row>
    <row r="78" spans="1:7" x14ac:dyDescent="0.25">
      <c r="A78" s="46">
        <v>42690</v>
      </c>
      <c r="B78" s="47">
        <v>1</v>
      </c>
      <c r="E78" s="42"/>
      <c r="F78" s="43"/>
      <c r="G78" s="44"/>
    </row>
    <row r="79" spans="1:7" x14ac:dyDescent="0.25">
      <c r="A79" s="46">
        <v>42704</v>
      </c>
      <c r="B79" s="47">
        <v>1</v>
      </c>
      <c r="E79" s="42"/>
      <c r="F79" s="43"/>
      <c r="G79" s="44"/>
    </row>
    <row r="80" spans="1:7" x14ac:dyDescent="0.25">
      <c r="A80" s="46">
        <v>42718</v>
      </c>
      <c r="B80" s="47">
        <v>5</v>
      </c>
      <c r="E80" s="42"/>
      <c r="F80" s="43"/>
      <c r="G80" s="44"/>
    </row>
    <row r="81" spans="1:7" x14ac:dyDescent="0.25">
      <c r="A81" s="46">
        <v>42733</v>
      </c>
      <c r="B81" s="47">
        <v>0.33333333300000001</v>
      </c>
      <c r="E81" s="42"/>
      <c r="F81" s="43"/>
      <c r="G81" s="44"/>
    </row>
    <row r="82" spans="1:7" x14ac:dyDescent="0.25">
      <c r="A82" s="46">
        <v>42746</v>
      </c>
      <c r="B82" s="47">
        <v>3</v>
      </c>
      <c r="E82" s="42"/>
      <c r="F82" s="43"/>
      <c r="G82" s="44"/>
    </row>
    <row r="83" spans="1:7" x14ac:dyDescent="0.25">
      <c r="A83" s="46">
        <v>42760</v>
      </c>
      <c r="B83" s="47">
        <v>3</v>
      </c>
      <c r="E83" s="42"/>
      <c r="F83" s="43"/>
      <c r="G83" s="44"/>
    </row>
    <row r="84" spans="1:7" x14ac:dyDescent="0.25">
      <c r="A84" s="46">
        <v>42774</v>
      </c>
      <c r="B84" s="47">
        <v>10</v>
      </c>
      <c r="E84" s="42"/>
      <c r="F84" s="43"/>
      <c r="G84" s="44"/>
    </row>
    <row r="85" spans="1:7" x14ac:dyDescent="0.25">
      <c r="A85" s="46">
        <v>42788</v>
      </c>
      <c r="B85" s="47">
        <v>2</v>
      </c>
      <c r="E85" s="42"/>
      <c r="F85" s="43"/>
      <c r="G85" s="44"/>
    </row>
    <row r="86" spans="1:7" x14ac:dyDescent="0.25">
      <c r="A86" s="46">
        <v>42802</v>
      </c>
      <c r="B86" s="47">
        <v>3</v>
      </c>
      <c r="E86" s="42"/>
      <c r="F86" s="43"/>
      <c r="G86" s="44"/>
    </row>
    <row r="87" spans="1:7" x14ac:dyDescent="0.25">
      <c r="A87" s="46">
        <v>42816</v>
      </c>
      <c r="B87" s="47">
        <v>15</v>
      </c>
      <c r="E87" s="42"/>
      <c r="F87" s="43"/>
      <c r="G87" s="44"/>
    </row>
    <row r="88" spans="1:7" x14ac:dyDescent="0.25">
      <c r="A88" s="46">
        <v>42830</v>
      </c>
      <c r="B88" s="47">
        <v>11</v>
      </c>
      <c r="E88" s="42"/>
      <c r="F88" s="43"/>
      <c r="G88" s="44"/>
    </row>
    <row r="89" spans="1:7" x14ac:dyDescent="0.25">
      <c r="A89" s="46">
        <v>42844</v>
      </c>
      <c r="B89" s="47">
        <v>1</v>
      </c>
      <c r="E89" s="42"/>
      <c r="F89" s="43"/>
      <c r="G89" s="44"/>
    </row>
    <row r="90" spans="1:7" x14ac:dyDescent="0.25">
      <c r="A90" s="46">
        <v>42858</v>
      </c>
      <c r="B90" s="47">
        <v>5</v>
      </c>
      <c r="E90" s="42"/>
      <c r="F90" s="43"/>
      <c r="G90" s="44"/>
    </row>
    <row r="91" spans="1:7" x14ac:dyDescent="0.25">
      <c r="A91" s="46">
        <v>42872</v>
      </c>
      <c r="B91" s="47">
        <v>16</v>
      </c>
      <c r="E91" s="42"/>
      <c r="F91" s="43"/>
      <c r="G91" s="44"/>
    </row>
    <row r="92" spans="1:7" x14ac:dyDescent="0.25">
      <c r="A92" s="46">
        <v>42886</v>
      </c>
      <c r="B92" s="47">
        <v>400</v>
      </c>
      <c r="E92" s="42"/>
      <c r="F92" s="43"/>
      <c r="G92" s="44"/>
    </row>
    <row r="93" spans="1:7" x14ac:dyDescent="0.25">
      <c r="A93" s="46">
        <v>42900</v>
      </c>
      <c r="B93" s="47">
        <v>47</v>
      </c>
      <c r="E93" s="42"/>
      <c r="F93" s="43"/>
      <c r="G93" s="44"/>
    </row>
    <row r="94" spans="1:7" x14ac:dyDescent="0.25">
      <c r="A94" s="46">
        <v>42914</v>
      </c>
      <c r="B94" s="47">
        <v>40</v>
      </c>
      <c r="E94" s="42"/>
      <c r="F94" s="43"/>
      <c r="G94" s="44"/>
    </row>
    <row r="95" spans="1:7" x14ac:dyDescent="0.25">
      <c r="A95" s="46">
        <v>42928</v>
      </c>
      <c r="B95" s="47">
        <v>100</v>
      </c>
      <c r="E95" s="42"/>
      <c r="F95" s="43"/>
      <c r="G95" s="44"/>
    </row>
    <row r="96" spans="1:7" x14ac:dyDescent="0.25">
      <c r="A96" s="46">
        <v>42942</v>
      </c>
      <c r="B96" s="47">
        <v>850</v>
      </c>
      <c r="E96" s="42"/>
      <c r="F96" s="43"/>
      <c r="G96" s="44"/>
    </row>
    <row r="97" spans="1:7" x14ac:dyDescent="0.25">
      <c r="A97" s="46">
        <v>42957</v>
      </c>
      <c r="B97" s="47">
        <v>12</v>
      </c>
      <c r="E97" s="42"/>
      <c r="F97" s="43"/>
      <c r="G97" s="44"/>
    </row>
    <row r="98" spans="1:7" x14ac:dyDescent="0.25">
      <c r="A98" s="46">
        <v>42970</v>
      </c>
      <c r="B98" s="47">
        <v>19</v>
      </c>
      <c r="E98" s="42"/>
      <c r="F98" s="43"/>
      <c r="G98" s="44"/>
    </row>
    <row r="99" spans="1:7" x14ac:dyDescent="0.25">
      <c r="A99" s="46">
        <v>42984</v>
      </c>
      <c r="B99" s="47">
        <v>3</v>
      </c>
      <c r="E99" s="42"/>
      <c r="F99" s="43"/>
      <c r="G99" s="44"/>
    </row>
    <row r="100" spans="1:7" x14ac:dyDescent="0.25">
      <c r="A100" s="46">
        <v>42998</v>
      </c>
      <c r="B100" s="47">
        <v>1</v>
      </c>
      <c r="E100" s="42"/>
      <c r="F100" s="43"/>
      <c r="G100" s="44"/>
    </row>
    <row r="101" spans="1:7" x14ac:dyDescent="0.25">
      <c r="A101" s="46">
        <v>43012</v>
      </c>
      <c r="B101" s="47">
        <v>5</v>
      </c>
      <c r="E101" s="42"/>
      <c r="F101" s="43"/>
      <c r="G101" s="44"/>
    </row>
    <row r="102" spans="1:7" x14ac:dyDescent="0.25">
      <c r="A102" s="46">
        <v>43026</v>
      </c>
      <c r="B102" s="47">
        <v>2</v>
      </c>
      <c r="E102" s="42"/>
      <c r="F102" s="43"/>
      <c r="G102" s="44"/>
    </row>
    <row r="103" spans="1:7" x14ac:dyDescent="0.25">
      <c r="A103" s="46">
        <v>43040</v>
      </c>
      <c r="B103" s="47">
        <v>1</v>
      </c>
      <c r="E103" s="42"/>
      <c r="F103" s="43"/>
      <c r="G103" s="44"/>
    </row>
    <row r="104" spans="1:7" x14ac:dyDescent="0.25">
      <c r="A104" s="46">
        <v>43054</v>
      </c>
      <c r="B104" s="47">
        <v>2</v>
      </c>
      <c r="E104" s="42"/>
      <c r="F104" s="43"/>
      <c r="G104" s="44"/>
    </row>
    <row r="105" spans="1:7" x14ac:dyDescent="0.25">
      <c r="A105" s="46">
        <v>43068</v>
      </c>
      <c r="B105" s="47">
        <v>0.33333333300000001</v>
      </c>
      <c r="E105" s="42"/>
      <c r="F105" s="43"/>
      <c r="G105" s="44"/>
    </row>
    <row r="106" spans="1:7" x14ac:dyDescent="0.25">
      <c r="A106" s="46">
        <v>43082</v>
      </c>
      <c r="B106" s="47">
        <v>1</v>
      </c>
      <c r="E106" s="42"/>
      <c r="F106" s="43"/>
      <c r="G106" s="44"/>
    </row>
    <row r="107" spans="1:7" x14ac:dyDescent="0.25">
      <c r="A107" s="46">
        <v>43097</v>
      </c>
      <c r="B107" s="47">
        <v>8</v>
      </c>
      <c r="E107" s="42"/>
      <c r="F107" s="43"/>
      <c r="G107" s="44"/>
    </row>
    <row r="108" spans="1:7" x14ac:dyDescent="0.25">
      <c r="A108" s="46">
        <v>43110</v>
      </c>
      <c r="B108" s="47">
        <v>4</v>
      </c>
      <c r="E108" s="42"/>
      <c r="F108" s="43"/>
      <c r="G108" s="44"/>
    </row>
    <row r="109" spans="1:7" x14ac:dyDescent="0.25">
      <c r="A109" s="46">
        <v>43124</v>
      </c>
      <c r="B109" s="47">
        <v>1</v>
      </c>
      <c r="E109" s="42"/>
      <c r="F109" s="43"/>
      <c r="G109" s="44"/>
    </row>
    <row r="110" spans="1:7" x14ac:dyDescent="0.25">
      <c r="A110" s="46">
        <v>43138</v>
      </c>
      <c r="B110" s="47">
        <v>2</v>
      </c>
      <c r="E110" s="42"/>
      <c r="F110" s="43"/>
      <c r="G110" s="44"/>
    </row>
    <row r="111" spans="1:7" x14ac:dyDescent="0.25">
      <c r="A111" s="46">
        <v>43152</v>
      </c>
      <c r="B111" s="47">
        <v>2</v>
      </c>
      <c r="E111" s="42"/>
      <c r="F111" s="43"/>
      <c r="G111" s="44"/>
    </row>
    <row r="112" spans="1:7" x14ac:dyDescent="0.25">
      <c r="A112" s="46">
        <v>43166</v>
      </c>
      <c r="B112" s="47">
        <v>15</v>
      </c>
      <c r="E112" s="42"/>
      <c r="F112" s="43"/>
      <c r="G112" s="44"/>
    </row>
    <row r="113" spans="1:7" x14ac:dyDescent="0.25">
      <c r="A113" s="46">
        <v>43181</v>
      </c>
      <c r="B113" s="47">
        <v>1</v>
      </c>
      <c r="E113" s="42"/>
      <c r="F113" s="43"/>
      <c r="G113" s="44"/>
    </row>
    <row r="114" spans="1:7" x14ac:dyDescent="0.25">
      <c r="A114" s="46">
        <v>43194</v>
      </c>
      <c r="B114" s="47">
        <v>4</v>
      </c>
      <c r="E114" s="42"/>
      <c r="F114" s="43"/>
      <c r="G114" s="44"/>
    </row>
    <row r="115" spans="1:7" x14ac:dyDescent="0.25">
      <c r="A115" s="46">
        <v>43208</v>
      </c>
      <c r="B115" s="47">
        <v>11</v>
      </c>
      <c r="E115" s="42"/>
      <c r="F115" s="43"/>
      <c r="G115" s="44"/>
    </row>
    <row r="116" spans="1:7" x14ac:dyDescent="0.25">
      <c r="A116" s="46">
        <v>43222</v>
      </c>
      <c r="B116" s="47">
        <v>10</v>
      </c>
      <c r="E116" s="42"/>
      <c r="F116" s="43"/>
      <c r="G116" s="44"/>
    </row>
    <row r="117" spans="1:7" x14ac:dyDescent="0.25">
      <c r="A117" s="46">
        <v>43236</v>
      </c>
      <c r="B117" s="47">
        <v>4</v>
      </c>
      <c r="E117" s="42"/>
      <c r="F117" s="43"/>
      <c r="G117" s="44"/>
    </row>
    <row r="118" spans="1:7" x14ac:dyDescent="0.25">
      <c r="A118" s="46">
        <v>43250</v>
      </c>
      <c r="B118" s="47">
        <v>9</v>
      </c>
      <c r="E118" s="42"/>
      <c r="F118" s="43"/>
      <c r="G118" s="44"/>
    </row>
    <row r="119" spans="1:7" x14ac:dyDescent="0.25">
      <c r="A119" s="46">
        <v>43264</v>
      </c>
      <c r="B119" s="47">
        <v>3</v>
      </c>
      <c r="E119" s="42"/>
      <c r="F119" s="43"/>
      <c r="G119" s="44"/>
    </row>
    <row r="120" spans="1:7" x14ac:dyDescent="0.25">
      <c r="A120" s="46">
        <v>43278</v>
      </c>
      <c r="B120" s="47">
        <v>14</v>
      </c>
      <c r="E120" s="42"/>
      <c r="F120" s="43"/>
      <c r="G120" s="44"/>
    </row>
    <row r="121" spans="1:7" x14ac:dyDescent="0.25">
      <c r="A121" s="46">
        <v>43292</v>
      </c>
      <c r="B121" s="47">
        <v>69</v>
      </c>
      <c r="E121" s="42"/>
      <c r="F121" s="43"/>
      <c r="G121" s="44"/>
    </row>
    <row r="122" spans="1:7" x14ac:dyDescent="0.25">
      <c r="A122" s="46">
        <v>43306</v>
      </c>
      <c r="B122" s="47">
        <v>0.33333333300000001</v>
      </c>
      <c r="E122" s="42"/>
      <c r="F122" s="43"/>
      <c r="G122" s="44"/>
    </row>
    <row r="123" spans="1:7" x14ac:dyDescent="0.25">
      <c r="A123" s="46">
        <v>43320</v>
      </c>
      <c r="B123" s="47">
        <v>4</v>
      </c>
      <c r="E123" s="42"/>
      <c r="F123" s="43"/>
      <c r="G123" s="44"/>
    </row>
    <row r="124" spans="1:7" x14ac:dyDescent="0.25">
      <c r="A124" s="46">
        <v>43334</v>
      </c>
      <c r="B124" s="47">
        <v>5</v>
      </c>
      <c r="E124" s="42"/>
      <c r="F124" s="43"/>
      <c r="G124" s="44"/>
    </row>
    <row r="125" spans="1:7" x14ac:dyDescent="0.25">
      <c r="A125" s="46">
        <v>43348</v>
      </c>
      <c r="B125" s="47">
        <v>10</v>
      </c>
      <c r="E125" s="42"/>
      <c r="F125" s="43"/>
      <c r="G125" s="44"/>
    </row>
    <row r="126" spans="1:7" x14ac:dyDescent="0.25">
      <c r="A126" s="46">
        <v>43362</v>
      </c>
      <c r="B126" s="47">
        <v>2</v>
      </c>
      <c r="E126" s="42"/>
      <c r="F126" s="43"/>
      <c r="G126" s="44"/>
    </row>
    <row r="127" spans="1:7" x14ac:dyDescent="0.25">
      <c r="A127" s="46">
        <v>43376.445138888892</v>
      </c>
      <c r="B127" s="47">
        <v>0.33333333300000001</v>
      </c>
      <c r="E127" s="42"/>
      <c r="F127" s="43"/>
      <c r="G127" s="44"/>
    </row>
    <row r="128" spans="1:7" x14ac:dyDescent="0.25">
      <c r="A128" s="46">
        <v>43390.440972222219</v>
      </c>
      <c r="B128" s="47">
        <v>2</v>
      </c>
      <c r="E128" s="42"/>
      <c r="F128" s="43"/>
      <c r="G128" s="44"/>
    </row>
    <row r="129" spans="1:7" x14ac:dyDescent="0.25">
      <c r="A129" s="46">
        <v>43404.371527777781</v>
      </c>
      <c r="B129" s="47">
        <v>4</v>
      </c>
      <c r="E129" s="42"/>
      <c r="F129" s="43"/>
      <c r="G129" s="44"/>
    </row>
    <row r="130" spans="1:7" x14ac:dyDescent="0.25">
      <c r="A130" s="46">
        <v>43418.423611111109</v>
      </c>
      <c r="B130" s="47">
        <v>0.33333333300000001</v>
      </c>
      <c r="E130" s="42"/>
      <c r="F130" s="43"/>
      <c r="G130" s="44"/>
    </row>
    <row r="131" spans="1:7" x14ac:dyDescent="0.25">
      <c r="A131" s="46">
        <v>43432.331944444442</v>
      </c>
      <c r="B131" s="47">
        <v>2</v>
      </c>
      <c r="E131" s="42"/>
      <c r="F131" s="43"/>
      <c r="G131" s="44"/>
    </row>
    <row r="132" spans="1:7" x14ac:dyDescent="0.25">
      <c r="A132" s="46">
        <v>43446.429861111108</v>
      </c>
      <c r="B132" s="47">
        <v>0.33333333300000001</v>
      </c>
      <c r="E132" s="42"/>
      <c r="F132" s="43"/>
      <c r="G132" s="44"/>
    </row>
    <row r="133" spans="1:7" x14ac:dyDescent="0.25">
      <c r="A133" s="46">
        <v>43451.475694444445</v>
      </c>
      <c r="B133" s="47">
        <v>0.33333333300000001</v>
      </c>
      <c r="E133" s="42"/>
      <c r="F133" s="43"/>
      <c r="G133" s="44"/>
    </row>
    <row r="134" spans="1:7" x14ac:dyDescent="0.25">
      <c r="A134" s="46">
        <v>43474.425000000003</v>
      </c>
      <c r="B134" s="47">
        <v>1</v>
      </c>
      <c r="E134" s="42"/>
      <c r="F134" s="43"/>
      <c r="G134" s="44"/>
    </row>
    <row r="135" spans="1:7" x14ac:dyDescent="0.25">
      <c r="A135" s="46">
        <v>43488.422222222223</v>
      </c>
      <c r="B135" s="47">
        <v>1</v>
      </c>
      <c r="E135" s="42"/>
      <c r="F135" s="43"/>
      <c r="G135" s="44"/>
    </row>
    <row r="136" spans="1:7" x14ac:dyDescent="0.25">
      <c r="A136" s="46">
        <v>43502.444444444445</v>
      </c>
      <c r="B136" s="47">
        <v>4</v>
      </c>
      <c r="E136" s="42"/>
      <c r="F136" s="43"/>
      <c r="G136" s="44"/>
    </row>
    <row r="137" spans="1:7" x14ac:dyDescent="0.25">
      <c r="A137" s="46">
        <v>43516.445138888892</v>
      </c>
      <c r="B137" s="47">
        <v>2</v>
      </c>
      <c r="E137" s="42"/>
      <c r="F137" s="43"/>
      <c r="G137" s="44"/>
    </row>
    <row r="138" spans="1:7" x14ac:dyDescent="0.25">
      <c r="A138" s="46">
        <v>43530.429166666669</v>
      </c>
      <c r="B138" s="47">
        <v>5</v>
      </c>
      <c r="E138" s="42"/>
      <c r="F138" s="43"/>
      <c r="G138" s="44"/>
    </row>
    <row r="139" spans="1:7" x14ac:dyDescent="0.25">
      <c r="A139" s="46">
        <v>43544</v>
      </c>
      <c r="B139" s="47">
        <v>6</v>
      </c>
      <c r="E139" s="42"/>
      <c r="F139" s="43"/>
      <c r="G139" s="44"/>
    </row>
    <row r="140" spans="1:7" x14ac:dyDescent="0.25">
      <c r="A140" s="46">
        <v>43558</v>
      </c>
      <c r="B140" s="47">
        <v>8</v>
      </c>
      <c r="E140" s="42"/>
      <c r="F140" s="43"/>
      <c r="G140" s="44"/>
    </row>
    <row r="141" spans="1:7" x14ac:dyDescent="0.25">
      <c r="A141" s="46">
        <v>43571</v>
      </c>
      <c r="B141" s="47">
        <v>1</v>
      </c>
      <c r="E141" s="42"/>
      <c r="F141" s="43"/>
      <c r="G141" s="44"/>
    </row>
    <row r="142" spans="1:7" x14ac:dyDescent="0.25">
      <c r="A142" s="46">
        <v>43587</v>
      </c>
      <c r="B142" s="47">
        <v>17</v>
      </c>
      <c r="E142" s="42"/>
      <c r="F142" s="43"/>
      <c r="G142" s="44"/>
    </row>
    <row r="143" spans="1:7" x14ac:dyDescent="0.25">
      <c r="A143" s="46">
        <v>43600</v>
      </c>
      <c r="B143" s="47">
        <v>0.33333333300000001</v>
      </c>
      <c r="E143" s="42"/>
      <c r="F143" s="43"/>
      <c r="G143" s="44"/>
    </row>
    <row r="144" spans="1:7" x14ac:dyDescent="0.25">
      <c r="A144" s="46">
        <v>43614</v>
      </c>
      <c r="B144" s="47">
        <v>0.33333333300000001</v>
      </c>
      <c r="E144" s="42"/>
      <c r="F144" s="43"/>
      <c r="G144" s="44"/>
    </row>
    <row r="145" spans="1:2" x14ac:dyDescent="0.25">
      <c r="A145" s="46">
        <v>43628</v>
      </c>
      <c r="B145" s="47">
        <v>100</v>
      </c>
    </row>
    <row r="146" spans="1:2" x14ac:dyDescent="0.25">
      <c r="A146" s="46">
        <v>43642</v>
      </c>
      <c r="B146" s="47">
        <v>1</v>
      </c>
    </row>
    <row r="147" spans="1:2" x14ac:dyDescent="0.25">
      <c r="A147" s="46">
        <v>43656</v>
      </c>
      <c r="B147" s="47">
        <v>17</v>
      </c>
    </row>
    <row r="148" spans="1:2" x14ac:dyDescent="0.25">
      <c r="A148" s="46">
        <v>43670</v>
      </c>
      <c r="B148" s="47">
        <v>1100</v>
      </c>
    </row>
    <row r="149" spans="1:2" x14ac:dyDescent="0.25">
      <c r="A149" s="46">
        <v>43683</v>
      </c>
      <c r="B149" s="47">
        <v>11</v>
      </c>
    </row>
    <row r="150" spans="1:2" x14ac:dyDescent="0.25">
      <c r="A150" s="46">
        <v>43698</v>
      </c>
      <c r="B150" s="47">
        <v>0.33333333300000001</v>
      </c>
    </row>
    <row r="151" spans="1:2" x14ac:dyDescent="0.25">
      <c r="A151" s="46">
        <v>43740</v>
      </c>
      <c r="B151" s="47">
        <v>1</v>
      </c>
    </row>
    <row r="152" spans="1:2" x14ac:dyDescent="0.25">
      <c r="A152" s="46">
        <v>43754</v>
      </c>
      <c r="B152" s="47">
        <v>2</v>
      </c>
    </row>
    <row r="153" spans="1:2" x14ac:dyDescent="0.25">
      <c r="A153" s="46">
        <v>43768</v>
      </c>
      <c r="B153" s="47">
        <v>0.33333333300000001</v>
      </c>
    </row>
    <row r="154" spans="1:2" x14ac:dyDescent="0.25">
      <c r="A154" s="46">
        <v>43782</v>
      </c>
      <c r="B154" s="47">
        <v>0.33333333300000001</v>
      </c>
    </row>
    <row r="155" spans="1:2" x14ac:dyDescent="0.25">
      <c r="A155" s="46">
        <v>43789</v>
      </c>
      <c r="B155" s="47">
        <v>2</v>
      </c>
    </row>
    <row r="156" spans="1:2" x14ac:dyDescent="0.25">
      <c r="A156" s="46">
        <v>43789</v>
      </c>
      <c r="B156" s="47">
        <v>2</v>
      </c>
    </row>
    <row r="157" spans="1:2" x14ac:dyDescent="0.25">
      <c r="A157" s="46">
        <v>43796</v>
      </c>
      <c r="B157" s="47">
        <v>1</v>
      </c>
    </row>
    <row r="158" spans="1:2" x14ac:dyDescent="0.25">
      <c r="A158" s="46">
        <v>43801</v>
      </c>
      <c r="B158" s="48">
        <v>3</v>
      </c>
    </row>
    <row r="159" spans="1:2" x14ac:dyDescent="0.25">
      <c r="A159" s="46">
        <v>43803</v>
      </c>
      <c r="B159" s="47">
        <v>5</v>
      </c>
    </row>
    <row r="160" spans="1:2" x14ac:dyDescent="0.25">
      <c r="A160" s="46">
        <v>43810</v>
      </c>
      <c r="B160" s="48">
        <v>2</v>
      </c>
    </row>
    <row r="161" spans="1:2" x14ac:dyDescent="0.25">
      <c r="A161" s="46">
        <v>43810</v>
      </c>
      <c r="B161" s="48">
        <v>1</v>
      </c>
    </row>
    <row r="162" spans="1:2" x14ac:dyDescent="0.25">
      <c r="A162" s="46">
        <v>43814</v>
      </c>
      <c r="B162" s="48">
        <v>1</v>
      </c>
    </row>
    <row r="163" spans="1:2" x14ac:dyDescent="0.25">
      <c r="A163" s="46">
        <v>43817</v>
      </c>
      <c r="B163" s="48">
        <v>13</v>
      </c>
    </row>
    <row r="164" spans="1:2" x14ac:dyDescent="0.25">
      <c r="A164" s="46">
        <v>43821</v>
      </c>
      <c r="B164" s="48">
        <v>100</v>
      </c>
    </row>
    <row r="165" spans="1:2" x14ac:dyDescent="0.25">
      <c r="A165" s="46">
        <v>43832</v>
      </c>
      <c r="B165" s="48">
        <v>3</v>
      </c>
    </row>
    <row r="166" spans="1:2" x14ac:dyDescent="0.25">
      <c r="A166" s="46">
        <v>43838</v>
      </c>
      <c r="B166" s="48">
        <v>10</v>
      </c>
    </row>
    <row r="167" spans="1:2" x14ac:dyDescent="0.25">
      <c r="A167" s="46">
        <v>43838</v>
      </c>
      <c r="B167" s="48">
        <v>3</v>
      </c>
    </row>
    <row r="168" spans="1:2" x14ac:dyDescent="0.25">
      <c r="A168" s="46">
        <v>43845</v>
      </c>
      <c r="B168" s="48">
        <v>13</v>
      </c>
    </row>
    <row r="169" spans="1:2" x14ac:dyDescent="0.25">
      <c r="A169" s="46">
        <v>43852</v>
      </c>
      <c r="B169" s="48">
        <v>13</v>
      </c>
    </row>
    <row r="170" spans="1:2" x14ac:dyDescent="0.25">
      <c r="A170" s="46">
        <v>43852</v>
      </c>
      <c r="B170" s="48">
        <v>3</v>
      </c>
    </row>
    <row r="171" spans="1:2" x14ac:dyDescent="0.25">
      <c r="A171" s="46">
        <v>43866</v>
      </c>
      <c r="B171" s="48">
        <v>4</v>
      </c>
    </row>
    <row r="172" spans="1:2" x14ac:dyDescent="0.25">
      <c r="A172" s="46">
        <v>43866</v>
      </c>
      <c r="B172" s="48">
        <v>5</v>
      </c>
    </row>
    <row r="173" spans="1:2" x14ac:dyDescent="0.25">
      <c r="A173" s="46">
        <v>43880</v>
      </c>
      <c r="B173" s="48">
        <v>5</v>
      </c>
    </row>
    <row r="174" spans="1:2" x14ac:dyDescent="0.25">
      <c r="A174" s="46">
        <v>43880</v>
      </c>
      <c r="B174" s="48">
        <v>1</v>
      </c>
    </row>
    <row r="175" spans="1:2" x14ac:dyDescent="0.25">
      <c r="A175" s="46">
        <v>43893</v>
      </c>
      <c r="B175" s="48">
        <v>1</v>
      </c>
    </row>
    <row r="176" spans="1:2" x14ac:dyDescent="0.25">
      <c r="A176" s="46">
        <v>43894</v>
      </c>
      <c r="B176" s="48">
        <v>1</v>
      </c>
    </row>
    <row r="177" spans="1:2" x14ac:dyDescent="0.25">
      <c r="A177" s="46">
        <v>43908</v>
      </c>
      <c r="B177" s="48">
        <v>3</v>
      </c>
    </row>
    <row r="178" spans="1:2" x14ac:dyDescent="0.25">
      <c r="A178" s="46">
        <v>43908</v>
      </c>
      <c r="B178" s="48">
        <v>3.3333000000000002E-2</v>
      </c>
    </row>
    <row r="179" spans="1:2" x14ac:dyDescent="0.25">
      <c r="A179" s="46">
        <v>43992</v>
      </c>
      <c r="B179" s="48">
        <v>56</v>
      </c>
    </row>
    <row r="180" spans="1:2" x14ac:dyDescent="0.25">
      <c r="A180" s="46">
        <v>44007</v>
      </c>
      <c r="B180" s="48">
        <v>14</v>
      </c>
    </row>
    <row r="181" spans="1:2" x14ac:dyDescent="0.25">
      <c r="A181" s="46">
        <v>44020</v>
      </c>
      <c r="B181" s="48">
        <v>4</v>
      </c>
    </row>
    <row r="182" spans="1:2" x14ac:dyDescent="0.25">
      <c r="A182" s="46">
        <v>44034</v>
      </c>
      <c r="B182" s="47">
        <v>0.12493873660829993</v>
      </c>
    </row>
    <row r="183" spans="1:2" x14ac:dyDescent="0.25">
      <c r="A183" s="46">
        <v>44048</v>
      </c>
      <c r="B183" s="48">
        <v>1</v>
      </c>
    </row>
    <row r="184" spans="1:2" x14ac:dyDescent="0.25">
      <c r="A184" s="46">
        <v>44062</v>
      </c>
      <c r="B184" s="48">
        <v>7</v>
      </c>
    </row>
    <row r="185" spans="1:2" x14ac:dyDescent="0.25">
      <c r="A185" s="46">
        <v>44076</v>
      </c>
      <c r="B185" s="48">
        <v>2</v>
      </c>
    </row>
    <row r="186" spans="1:2" x14ac:dyDescent="0.25">
      <c r="A186" s="46">
        <v>44090</v>
      </c>
      <c r="B186" s="48">
        <v>3</v>
      </c>
    </row>
    <row r="187" spans="1:2" x14ac:dyDescent="0.25">
      <c r="A187" s="46">
        <v>44118</v>
      </c>
      <c r="B187" s="48">
        <v>3</v>
      </c>
    </row>
    <row r="188" spans="1:2" x14ac:dyDescent="0.25">
      <c r="A188" s="46">
        <v>44132</v>
      </c>
      <c r="B188" s="48">
        <f>1/3</f>
        <v>0.33333333333333331</v>
      </c>
    </row>
    <row r="189" spans="1:2" x14ac:dyDescent="0.25">
      <c r="A189" s="46">
        <v>44146</v>
      </c>
      <c r="B189" s="48">
        <v>3</v>
      </c>
    </row>
    <row r="190" spans="1:2" x14ac:dyDescent="0.25">
      <c r="A190" s="46">
        <v>44160</v>
      </c>
      <c r="B190" s="48">
        <v>2</v>
      </c>
    </row>
    <row r="191" spans="1:2" x14ac:dyDescent="0.25">
      <c r="A191" s="46">
        <v>44160</v>
      </c>
      <c r="B191" s="48">
        <v>9</v>
      </c>
    </row>
    <row r="192" spans="1:2" x14ac:dyDescent="0.25">
      <c r="A192" s="46">
        <v>44174</v>
      </c>
      <c r="B192" s="48">
        <v>2</v>
      </c>
    </row>
    <row r="193" spans="1:2" x14ac:dyDescent="0.25">
      <c r="A193" s="46">
        <v>44188</v>
      </c>
      <c r="B193" s="48">
        <f>1/3</f>
        <v>0.33333333333333331</v>
      </c>
    </row>
    <row r="194" spans="1:2" x14ac:dyDescent="0.25">
      <c r="A194" s="46">
        <v>44202</v>
      </c>
      <c r="B194" s="48">
        <v>1</v>
      </c>
    </row>
    <row r="195" spans="1:2" x14ac:dyDescent="0.25">
      <c r="A195" s="46">
        <v>44202</v>
      </c>
      <c r="B195" s="48">
        <v>1</v>
      </c>
    </row>
    <row r="196" spans="1:2" x14ac:dyDescent="0.25">
      <c r="A196" s="46">
        <v>44223</v>
      </c>
      <c r="B196" s="48">
        <v>1</v>
      </c>
    </row>
    <row r="197" spans="1:2" x14ac:dyDescent="0.25">
      <c r="A197" s="46">
        <v>44230</v>
      </c>
      <c r="B197" s="48">
        <f>1/3</f>
        <v>0.33333333333333331</v>
      </c>
    </row>
    <row r="198" spans="1:2" x14ac:dyDescent="0.25">
      <c r="A198" s="46">
        <v>44244</v>
      </c>
      <c r="B198" s="48">
        <v>11</v>
      </c>
    </row>
    <row r="199" spans="1:2" x14ac:dyDescent="0.25">
      <c r="A199" s="46">
        <v>44258</v>
      </c>
      <c r="B199" s="48">
        <v>1</v>
      </c>
    </row>
    <row r="200" spans="1:2" x14ac:dyDescent="0.25">
      <c r="A200" s="46">
        <v>44272</v>
      </c>
      <c r="B200" s="48">
        <v>5</v>
      </c>
    </row>
    <row r="201" spans="1:2" x14ac:dyDescent="0.25">
      <c r="A201" s="46">
        <v>44300</v>
      </c>
      <c r="B201" s="48">
        <v>23</v>
      </c>
    </row>
    <row r="202" spans="1:2" x14ac:dyDescent="0.25">
      <c r="A202" s="46">
        <v>44321</v>
      </c>
      <c r="B202" s="48">
        <v>24</v>
      </c>
    </row>
    <row r="203" spans="1:2" x14ac:dyDescent="0.25">
      <c r="A203" s="46">
        <v>44328</v>
      </c>
      <c r="B203" s="48">
        <v>17</v>
      </c>
    </row>
    <row r="204" spans="1:2" x14ac:dyDescent="0.25">
      <c r="A204" s="46">
        <v>44384</v>
      </c>
      <c r="B204" s="48">
        <v>300</v>
      </c>
    </row>
    <row r="205" spans="1:2" x14ac:dyDescent="0.25">
      <c r="A205" s="46">
        <v>44412</v>
      </c>
      <c r="B205" s="48">
        <v>4</v>
      </c>
    </row>
    <row r="206" spans="1:2" x14ac:dyDescent="0.25">
      <c r="A206" s="46">
        <v>44426</v>
      </c>
      <c r="B206" s="48">
        <v>32</v>
      </c>
    </row>
    <row r="207" spans="1:2" x14ac:dyDescent="0.25">
      <c r="A207" s="46">
        <v>44454</v>
      </c>
      <c r="B207" s="48">
        <f>1/3</f>
        <v>0.33333333333333331</v>
      </c>
    </row>
    <row r="208" spans="1:2" x14ac:dyDescent="0.25">
      <c r="A208" s="46">
        <v>44468</v>
      </c>
      <c r="B208" s="48">
        <v>2</v>
      </c>
    </row>
    <row r="209" spans="1:2" x14ac:dyDescent="0.25">
      <c r="A209" s="46">
        <v>44482</v>
      </c>
      <c r="B209" s="48">
        <v>2</v>
      </c>
    </row>
    <row r="210" spans="1:2" x14ac:dyDescent="0.25">
      <c r="A210" s="46">
        <v>44496</v>
      </c>
      <c r="B210" s="48">
        <v>2</v>
      </c>
    </row>
    <row r="211" spans="1:2" x14ac:dyDescent="0.25">
      <c r="A211" s="46">
        <v>44510</v>
      </c>
      <c r="B211" s="48">
        <v>2</v>
      </c>
    </row>
    <row r="212" spans="1:2" x14ac:dyDescent="0.25">
      <c r="A212" s="46">
        <v>44524</v>
      </c>
      <c r="B212" s="48">
        <f>10/3</f>
        <v>3.3333333333333335</v>
      </c>
    </row>
    <row r="213" spans="1:2" x14ac:dyDescent="0.25">
      <c r="A213" s="46">
        <v>44525</v>
      </c>
      <c r="B213" s="48">
        <v>1</v>
      </c>
    </row>
    <row r="214" spans="1:2" x14ac:dyDescent="0.25">
      <c r="A214" s="46">
        <v>44531</v>
      </c>
      <c r="B214" s="48">
        <v>3</v>
      </c>
    </row>
    <row r="215" spans="1:2" x14ac:dyDescent="0.25">
      <c r="A215" s="46">
        <v>44538</v>
      </c>
      <c r="B215" s="48">
        <f>10/3</f>
        <v>3.3333333333333335</v>
      </c>
    </row>
    <row r="216" spans="1:2" x14ac:dyDescent="0.25">
      <c r="A216" s="46">
        <v>44544</v>
      </c>
      <c r="B216" s="48">
        <v>1</v>
      </c>
    </row>
    <row r="217" spans="1:2" x14ac:dyDescent="0.25">
      <c r="A217" s="46">
        <v>44552</v>
      </c>
      <c r="B217" s="48">
        <v>60</v>
      </c>
    </row>
    <row r="218" spans="1:2" x14ac:dyDescent="0.25">
      <c r="A218" s="46">
        <v>44552</v>
      </c>
      <c r="B218" s="48">
        <v>3</v>
      </c>
    </row>
    <row r="219" spans="1:2" x14ac:dyDescent="0.25">
      <c r="A219" s="46">
        <v>44565</v>
      </c>
      <c r="B219" s="48">
        <v>5</v>
      </c>
    </row>
    <row r="220" spans="1:2" x14ac:dyDescent="0.25">
      <c r="A220" s="46">
        <v>44566</v>
      </c>
      <c r="B220" s="48">
        <v>30</v>
      </c>
    </row>
    <row r="221" spans="1:2" x14ac:dyDescent="0.25">
      <c r="A221" s="46">
        <v>44573</v>
      </c>
      <c r="B221" s="48">
        <v>1</v>
      </c>
    </row>
    <row r="222" spans="1:2" x14ac:dyDescent="0.25">
      <c r="A222" s="46">
        <v>44580</v>
      </c>
      <c r="B222" s="48">
        <v>100</v>
      </c>
    </row>
    <row r="223" spans="1:2" x14ac:dyDescent="0.25">
      <c r="A223" s="46">
        <v>44581</v>
      </c>
      <c r="B223" s="48">
        <v>5</v>
      </c>
    </row>
    <row r="224" spans="1:2" x14ac:dyDescent="0.25">
      <c r="A224" s="46">
        <v>44594</v>
      </c>
      <c r="B224" s="48">
        <v>40</v>
      </c>
    </row>
    <row r="225" spans="1:2" x14ac:dyDescent="0.25">
      <c r="A225" s="46">
        <v>44894</v>
      </c>
      <c r="B225" s="48">
        <v>4</v>
      </c>
    </row>
    <row r="226" spans="1:2" x14ac:dyDescent="0.25">
      <c r="A226" s="46">
        <v>44902</v>
      </c>
      <c r="B226" s="48">
        <v>28</v>
      </c>
    </row>
    <row r="227" spans="1:2" x14ac:dyDescent="0.25">
      <c r="A227" s="46">
        <v>44902</v>
      </c>
      <c r="B227" s="48">
        <v>10</v>
      </c>
    </row>
    <row r="228" spans="1:2" x14ac:dyDescent="0.25">
      <c r="A228" s="46">
        <v>44909</v>
      </c>
      <c r="B228" s="48">
        <v>29</v>
      </c>
    </row>
    <row r="229" spans="1:2" x14ac:dyDescent="0.25">
      <c r="A229" s="46">
        <v>44929</v>
      </c>
      <c r="B229" s="48">
        <f>1/3</f>
        <v>0.33333333333333331</v>
      </c>
    </row>
    <row r="230" spans="1:2" x14ac:dyDescent="0.25">
      <c r="A230" s="46">
        <v>44930</v>
      </c>
      <c r="B230" s="48">
        <v>31</v>
      </c>
    </row>
    <row r="231" spans="1:2" x14ac:dyDescent="0.25">
      <c r="A231" s="46">
        <v>44936</v>
      </c>
      <c r="B231" s="48">
        <v>35</v>
      </c>
    </row>
    <row r="232" spans="1:2" x14ac:dyDescent="0.25">
      <c r="A232" s="46">
        <v>44944</v>
      </c>
      <c r="B232" s="48">
        <v>108</v>
      </c>
    </row>
    <row r="233" spans="1:2" x14ac:dyDescent="0.25">
      <c r="A233" s="46">
        <v>44944</v>
      </c>
      <c r="B233" s="48">
        <v>19</v>
      </c>
    </row>
    <row r="234" spans="1:2" x14ac:dyDescent="0.25">
      <c r="A234" s="46">
        <v>44946</v>
      </c>
      <c r="B234" s="48">
        <v>11</v>
      </c>
    </row>
    <row r="235" spans="1:2" x14ac:dyDescent="0.25">
      <c r="A235" s="46">
        <v>44950</v>
      </c>
      <c r="B235" s="48">
        <f>150*3</f>
        <v>450</v>
      </c>
    </row>
    <row r="236" spans="1:2" x14ac:dyDescent="0.25">
      <c r="A236" s="46">
        <v>44950</v>
      </c>
      <c r="B236" s="48">
        <v>21</v>
      </c>
    </row>
    <row r="237" spans="1:2" x14ac:dyDescent="0.25">
      <c r="A237" s="46">
        <v>44972</v>
      </c>
      <c r="B237" s="48">
        <v>435</v>
      </c>
    </row>
    <row r="238" spans="1:2" x14ac:dyDescent="0.25">
      <c r="A238" s="46">
        <v>44986</v>
      </c>
      <c r="B238" s="48">
        <v>722</v>
      </c>
    </row>
    <row r="239" spans="1:2" x14ac:dyDescent="0.25">
      <c r="A239" s="46">
        <v>45210</v>
      </c>
      <c r="B239" s="48">
        <f>1/3</f>
        <v>0.33333333333333331</v>
      </c>
    </row>
    <row r="240" spans="1:2" x14ac:dyDescent="0.25">
      <c r="A240" s="46">
        <v>45238</v>
      </c>
      <c r="B240" s="48">
        <v>10</v>
      </c>
    </row>
    <row r="241" spans="1:2" x14ac:dyDescent="0.25">
      <c r="A241" s="46">
        <v>45258</v>
      </c>
      <c r="B241" s="48">
        <v>2</v>
      </c>
    </row>
    <row r="242" spans="1:2" x14ac:dyDescent="0.25">
      <c r="A242" s="46">
        <v>45266</v>
      </c>
      <c r="B242" s="48">
        <f>1/3</f>
        <v>0.33333333333333331</v>
      </c>
    </row>
    <row r="243" spans="1:2" x14ac:dyDescent="0.25">
      <c r="A243" s="46">
        <v>45267</v>
      </c>
      <c r="B243" s="48">
        <f>1/3</f>
        <v>0.33333333333333331</v>
      </c>
    </row>
    <row r="244" spans="1:2" x14ac:dyDescent="0.25">
      <c r="A244" s="46">
        <v>45273</v>
      </c>
      <c r="B244" s="48">
        <f>1/3</f>
        <v>0.33333333333333331</v>
      </c>
    </row>
    <row r="245" spans="1:2" x14ac:dyDescent="0.25">
      <c r="A245" s="46">
        <v>45279</v>
      </c>
      <c r="B245" s="48">
        <v>53</v>
      </c>
    </row>
    <row r="246" spans="1:2" x14ac:dyDescent="0.25">
      <c r="A246" s="46">
        <v>45294</v>
      </c>
      <c r="B246" s="48">
        <v>60</v>
      </c>
    </row>
    <row r="247" spans="1:2" x14ac:dyDescent="0.25">
      <c r="A247" s="46">
        <v>45300</v>
      </c>
      <c r="B247" s="48">
        <f>1/3</f>
        <v>0.33333333333333331</v>
      </c>
    </row>
    <row r="248" spans="1:2" x14ac:dyDescent="0.25">
      <c r="A248" s="46">
        <v>45307</v>
      </c>
      <c r="B248" s="48">
        <f>1/3</f>
        <v>0.33333333333333331</v>
      </c>
    </row>
    <row r="249" spans="1:2" x14ac:dyDescent="0.25">
      <c r="A249" s="46">
        <v>45314</v>
      </c>
      <c r="B249" s="48">
        <v>6</v>
      </c>
    </row>
    <row r="250" spans="1:2" x14ac:dyDescent="0.25">
      <c r="A250" s="46">
        <v>45321</v>
      </c>
      <c r="B250" s="48">
        <v>16</v>
      </c>
    </row>
    <row r="251" spans="1:2" x14ac:dyDescent="0.25">
      <c r="A251" s="46">
        <v>45336</v>
      </c>
      <c r="B251" s="48">
        <f>1/3</f>
        <v>0.33333333333333331</v>
      </c>
    </row>
    <row r="252" spans="1:2" x14ac:dyDescent="0.25">
      <c r="A252" s="46">
        <v>45420</v>
      </c>
      <c r="B252" s="48">
        <f>1/3</f>
        <v>0.33333333333333331</v>
      </c>
    </row>
    <row r="253" spans="1:2" x14ac:dyDescent="0.25">
      <c r="A253" s="46">
        <v>45478</v>
      </c>
      <c r="B253" s="48">
        <v>39</v>
      </c>
    </row>
    <row r="254" spans="1:2" x14ac:dyDescent="0.25">
      <c r="A254" s="46">
        <v>45518</v>
      </c>
      <c r="B254" s="48">
        <v>31</v>
      </c>
    </row>
    <row r="255" spans="1:2" x14ac:dyDescent="0.25">
      <c r="A255" s="46">
        <v>45546</v>
      </c>
      <c r="B255" s="48">
        <f>10/3</f>
        <v>3.3333333333333335</v>
      </c>
    </row>
    <row r="256" spans="1:2" x14ac:dyDescent="0.25">
      <c r="A256" s="46">
        <v>45560</v>
      </c>
      <c r="B256" s="48">
        <f>10/3</f>
        <v>3.3333333333333335</v>
      </c>
    </row>
    <row r="257" spans="1:2" x14ac:dyDescent="0.25">
      <c r="A257" s="46">
        <v>45574</v>
      </c>
      <c r="B257" s="48">
        <v>31</v>
      </c>
    </row>
    <row r="258" spans="1:2" x14ac:dyDescent="0.25">
      <c r="A258" s="46">
        <v>45588</v>
      </c>
      <c r="B258" s="48">
        <f>10/3</f>
        <v>3.3333333333333335</v>
      </c>
    </row>
    <row r="259" spans="1:2" x14ac:dyDescent="0.25">
      <c r="A259" s="46">
        <v>45594</v>
      </c>
      <c r="B259" s="48">
        <f>1/3</f>
        <v>0.33333333333333331</v>
      </c>
    </row>
    <row r="260" spans="1:2" x14ac:dyDescent="0.25">
      <c r="A260" s="46">
        <v>45601</v>
      </c>
      <c r="B260" s="48">
        <f>1/3</f>
        <v>0.33333333333333331</v>
      </c>
    </row>
    <row r="261" spans="1:2" x14ac:dyDescent="0.25">
      <c r="A261" s="46">
        <v>45602</v>
      </c>
      <c r="B261" s="48">
        <f>10/3</f>
        <v>3.3333333333333335</v>
      </c>
    </row>
    <row r="262" spans="1:2" x14ac:dyDescent="0.25">
      <c r="A262" s="46">
        <v>45608</v>
      </c>
      <c r="B262" s="48">
        <v>1</v>
      </c>
    </row>
    <row r="263" spans="1:2" x14ac:dyDescent="0.25">
      <c r="A263" s="46">
        <v>45615</v>
      </c>
      <c r="B263" s="48">
        <v>71</v>
      </c>
    </row>
    <row r="264" spans="1:2" x14ac:dyDescent="0.25">
      <c r="A264" s="46">
        <v>45617</v>
      </c>
      <c r="B264" s="48">
        <v>46</v>
      </c>
    </row>
    <row r="265" spans="1:2" x14ac:dyDescent="0.25">
      <c r="A265" s="46">
        <v>45622</v>
      </c>
      <c r="B265" s="48">
        <v>7</v>
      </c>
    </row>
    <row r="266" spans="1:2" x14ac:dyDescent="0.25">
      <c r="A266" s="46">
        <v>45629</v>
      </c>
      <c r="B266" s="48">
        <v>2</v>
      </c>
    </row>
    <row r="267" spans="1:2" x14ac:dyDescent="0.25">
      <c r="A267" s="46">
        <v>45629</v>
      </c>
      <c r="B267" s="48">
        <f>1/3</f>
        <v>0.33333333333333331</v>
      </c>
    </row>
    <row r="268" spans="1:2" x14ac:dyDescent="0.25">
      <c r="A268" s="46">
        <v>45635</v>
      </c>
      <c r="B268" s="48">
        <v>31</v>
      </c>
    </row>
    <row r="269" spans="1:2" x14ac:dyDescent="0.25">
      <c r="A269" s="46">
        <v>45636</v>
      </c>
      <c r="B269" s="48">
        <v>15</v>
      </c>
    </row>
    <row r="270" spans="1:2" x14ac:dyDescent="0.25">
      <c r="A270" s="46">
        <v>45644</v>
      </c>
      <c r="B270" s="48">
        <v>1</v>
      </c>
    </row>
    <row r="271" spans="1:2" x14ac:dyDescent="0.25">
      <c r="A271" s="46">
        <v>45645</v>
      </c>
      <c r="B271" s="48">
        <f>1/3</f>
        <v>0.33333333333333331</v>
      </c>
    </row>
    <row r="272" spans="1:2" x14ac:dyDescent="0.25">
      <c r="A272" s="46">
        <v>45649</v>
      </c>
      <c r="B272" s="48">
        <v>2</v>
      </c>
    </row>
    <row r="273" spans="1:2" x14ac:dyDescent="0.25">
      <c r="A273" s="46">
        <v>45657</v>
      </c>
      <c r="B273" s="48">
        <v>17</v>
      </c>
    </row>
    <row r="274" spans="1:2" x14ac:dyDescent="0.25">
      <c r="A274" s="46">
        <v>45664</v>
      </c>
      <c r="B274" s="48">
        <f>1/3</f>
        <v>0.33333333333333331</v>
      </c>
    </row>
    <row r="275" spans="1:2" x14ac:dyDescent="0.25">
      <c r="A275" s="46">
        <v>45671</v>
      </c>
      <c r="B275" s="48">
        <v>2</v>
      </c>
    </row>
    <row r="276" spans="1:2" x14ac:dyDescent="0.25">
      <c r="A276" s="46">
        <v>45678</v>
      </c>
      <c r="B276" s="48">
        <v>4</v>
      </c>
    </row>
    <row r="277" spans="1:2" x14ac:dyDescent="0.25">
      <c r="A277" s="46">
        <v>45685</v>
      </c>
      <c r="B277" s="48">
        <v>2</v>
      </c>
    </row>
    <row r="278" spans="1:2" x14ac:dyDescent="0.25">
      <c r="A278" s="46">
        <v>45692</v>
      </c>
      <c r="B278" s="48">
        <v>3</v>
      </c>
    </row>
    <row r="279" spans="1:2" x14ac:dyDescent="0.25">
      <c r="A279" s="46">
        <v>45699</v>
      </c>
      <c r="B279" s="48">
        <v>6</v>
      </c>
    </row>
    <row r="280" spans="1:2" x14ac:dyDescent="0.25">
      <c r="A280" s="46">
        <v>45706</v>
      </c>
      <c r="B280" s="48">
        <v>1</v>
      </c>
    </row>
    <row r="281" spans="1:2" x14ac:dyDescent="0.25">
      <c r="A281" s="46">
        <v>45713</v>
      </c>
      <c r="B281" s="48">
        <v>6</v>
      </c>
    </row>
    <row r="282" spans="1:2" x14ac:dyDescent="0.25">
      <c r="A282" s="46">
        <v>45720</v>
      </c>
      <c r="B282" s="48">
        <v>1</v>
      </c>
    </row>
    <row r="283" spans="1:2" x14ac:dyDescent="0.25">
      <c r="A283" s="46">
        <v>45727</v>
      </c>
      <c r="B283" s="48">
        <v>4</v>
      </c>
    </row>
    <row r="284" spans="1:2" x14ac:dyDescent="0.25">
      <c r="A284" s="46">
        <v>45734</v>
      </c>
      <c r="B284" s="48">
        <v>7</v>
      </c>
    </row>
  </sheetData>
  <sortState ref="A2:B284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39:B140 B145 B117:B130 B132:B136 B153:B158 B1:B102 B167:B220 B222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27F5FD-44FC-4C47-9CB8-239DD8086D3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65EA53B-AEC5-4598-93A8-54167F84F0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654D10-FBB6-4868-9A68-76B0A33D18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2025-03-24T12:49:58Z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