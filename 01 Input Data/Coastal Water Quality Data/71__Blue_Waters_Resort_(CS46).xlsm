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False Bay/"/>
    </mc:Choice>
  </mc:AlternateContent>
  <bookViews>
    <workbookView xWindow="0" yWindow="0" windowWidth="28800" windowHeight="1243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coli'!$A$1:$B$226</definedName>
    <definedName name="_xlnm._FilterDatabase" localSheetId="2" hidden="1">'Faecal streptococci'!$A$1:$B$1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05" i="2" l="1"/>
  <c r="B186" i="2" l="1"/>
  <c r="B184" i="2" l="1"/>
  <c r="B174" i="2" l="1"/>
  <c r="B173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<sst xmlns="http://schemas.openxmlformats.org/spreadsheetml/2006/main" count="67" uniqueCount="35">
  <si>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</si>
  <si>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</si>
  <si>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</si>
  <si>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</si>
  <si>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</si>
  <si>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</si>
  <si>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</si>
  <si>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</si>
  <si>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</si>
  <si>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</si>
  <si>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</si>
  <si>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</si>
  <si>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</si>
  <si>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</si>
  <si>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</si>
  <si>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</si>
  <si>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</si>
  <si>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Good</t>
  </si>
  <si>
    <t>Sufficient</t>
  </si>
  <si>
    <t>Poor</t>
  </si>
  <si>
    <t>145/-</t>
  </si>
  <si>
    <t>775/480</t>
  </si>
  <si>
    <t>3760/345</t>
  </si>
  <si>
    <t>1141/123</t>
  </si>
  <si>
    <t>530/157</t>
  </si>
  <si>
    <t>390/300</t>
  </si>
  <si>
    <t>1047/470</t>
  </si>
  <si>
    <t>11700/3920</t>
  </si>
  <si>
    <t>Not Enough Data</t>
  </si>
  <si>
    <t>8986/5442</t>
  </si>
  <si>
    <t>6639/6131</t>
  </si>
  <si>
    <t>4352/2883</t>
  </si>
  <si>
    <t>7091/4708</t>
  </si>
  <si>
    <t>Blue Waters resort</t>
  </si>
  <si>
    <t>Strandfontein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</si>
</sst>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/mm\/yyyy/hh:mm"/>
    <numFmt numFmtId="165" formatCode="[$-F800]dddd\,\ mmmm\ dd\,\ yyyy"/>
    <numFmt numFmtId="166" formatCode="0.000"/>
    <numFmt numFmtId="167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56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165" fontId="0" fillId="0" borderId="0" xfId="0" applyNumberFormat="1" applyFont="1" applyFill="1" applyAlignment="1">
      <alignment horizontal="left"/>
    </xf>
    <xf numFmtId="167" fontId="2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7" fontId="0" fillId="0" borderId="0" xfId="0" applyNumberFormat="1" applyFont="1" applyAlignment="1">
      <alignment horizontal="left"/>
    </xf>
    <xf numFmtId="0" fontId="0" fillId="4" borderId="3" xfId="0" applyFill="1" applyBorder="1" applyProtection="1">
      <protection locked="0"/>
    </xf>
    <xf numFmtId="164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164" fontId="0" fillId="0" borderId="0" xfId="0" applyNumberFormat="1" applyFont="1" applyAlignment="1">
      <alignment horizontal="left"/>
    </xf>
    <xf numFmtId="167" fontId="0" fillId="0" borderId="0" xfId="0" applyNumberFormat="1" applyFont="1" applyFill="1" applyAlignment="1">
      <alignment horizontal="left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19"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K16" sqref="K16"/>
    </sheetView>
  </sheetViews>
  <sheetFormatPr defaultRowHeight="15" x14ac:dyDescent="0.2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3" customFormat="1" ht="7.5" customHeight="1" x14ac:dyDescent="0.25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25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25">
      <c r="A3" s="7"/>
      <c r="B3" s="15"/>
      <c r="C3" s="54" t="s">
        <v>33</v>
      </c>
      <c r="D3" s="54"/>
      <c r="E3" s="54"/>
      <c r="F3" s="12"/>
      <c r="G3" s="12"/>
      <c r="H3" s="12"/>
      <c r="I3" s="16"/>
      <c r="J3" s="33"/>
    </row>
    <row r="4" spans="1:10" s="3" customFormat="1" ht="15" customHeight="1" x14ac:dyDescent="0.25">
      <c r="A4" s="7"/>
      <c r="B4" s="15"/>
      <c r="C4" s="54"/>
      <c r="D4" s="54"/>
      <c r="E4" s="54"/>
      <c r="F4" s="12"/>
      <c r="G4" s="12"/>
      <c r="H4" s="12"/>
      <c r="I4" s="16"/>
      <c r="J4" s="16"/>
    </row>
    <row r="5" spans="1:10" s="18" customFormat="1" ht="8.25" customHeight="1" x14ac:dyDescent="0.45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25">
      <c r="A6" s="7"/>
      <c r="B6" s="15"/>
      <c r="C6" s="6" t="s">
        <v>15</v>
      </c>
      <c r="D6" s="55" t="s">
        <v>34</v>
      </c>
      <c r="E6" s="55"/>
      <c r="F6" s="12"/>
      <c r="G6" s="12"/>
      <c r="H6" s="12"/>
      <c r="I6" s="16"/>
      <c r="J6" s="16"/>
    </row>
    <row r="7" spans="1:10" s="3" customFormat="1" ht="15" customHeight="1" x14ac:dyDescent="0.25">
      <c r="A7" s="7"/>
      <c r="B7" s="15"/>
      <c r="C7" s="6" t="s">
        <v>8</v>
      </c>
      <c r="D7" s="55"/>
      <c r="E7" s="55"/>
      <c r="F7" s="12"/>
      <c r="G7" s="12"/>
      <c r="H7" s="12"/>
      <c r="I7" s="16"/>
      <c r="J7" s="16"/>
    </row>
    <row r="8" spans="1:10" s="3" customFormat="1" ht="15" customHeight="1" x14ac:dyDescent="0.25">
      <c r="A8" s="7"/>
      <c r="B8" s="15"/>
      <c r="C8" s="6" t="s">
        <v>9</v>
      </c>
      <c r="D8" s="55"/>
      <c r="E8" s="55"/>
      <c r="F8" s="12"/>
      <c r="G8" s="12"/>
      <c r="H8" s="12"/>
      <c r="I8" s="16"/>
      <c r="J8" s="16"/>
    </row>
    <row r="9" spans="1:10" s="3" customFormat="1" ht="15" customHeight="1" x14ac:dyDescent="0.25">
      <c r="A9" s="7"/>
      <c r="B9" s="15"/>
      <c r="C9" s="6" t="s">
        <v>3</v>
      </c>
      <c r="D9" s="55">
        <v>12</v>
      </c>
      <c r="E9" s="55"/>
      <c r="F9" s="12"/>
      <c r="G9" s="12"/>
      <c r="H9" s="12"/>
      <c r="I9" s="16"/>
      <c r="J9" s="16"/>
    </row>
    <row r="10" spans="1:10" s="3" customFormat="1" ht="7.5" customHeight="1" x14ac:dyDescent="0.25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25">
      <c r="A11" s="7"/>
      <c r="B11" s="34"/>
      <c r="C11" s="6" t="s">
        <v>10</v>
      </c>
      <c r="D11" s="52">
        <f ca="1">TODAY()</f>
        <v>45741</v>
      </c>
      <c r="E11" s="52"/>
      <c r="F11" s="12"/>
      <c r="G11" s="12"/>
      <c r="H11" s="12"/>
      <c r="I11" s="16"/>
      <c r="J11" s="16"/>
    </row>
    <row r="12" spans="1:10" s="3" customFormat="1" ht="15" customHeight="1" x14ac:dyDescent="0.25">
      <c r="A12" s="7"/>
      <c r="B12" s="15"/>
      <c r="C12" s="6" t="s">
        <v>13</v>
      </c>
      <c r="D12" s="52">
        <f>MAX(MAX('Escherichia coli'!A:A),MAX('Faecal streptococci'!A:A))</f>
        <v>45728</v>
      </c>
      <c r="E12" s="52"/>
      <c r="F12" s="10"/>
      <c r="G12" s="12"/>
      <c r="H12" s="12"/>
      <c r="I12" s="16"/>
      <c r="J12" s="16"/>
    </row>
    <row r="13" spans="1:10" s="3" customFormat="1" ht="15" customHeight="1" x14ac:dyDescent="0.25">
      <c r="A13" s="7"/>
      <c r="B13" s="15"/>
      <c r="C13" s="6" t="s">
        <v>4</v>
      </c>
      <c r="D13" s="53">
        <f ca="1">YEAR(D11)+(MONTH(D11)&gt;=D9)</f>
        <v>2025</v>
      </c>
      <c r="E13" s="53"/>
      <c r="F13" s="11"/>
      <c r="G13" s="12"/>
      <c r="H13" s="12"/>
      <c r="I13" s="16"/>
      <c r="J13" s="16"/>
    </row>
    <row r="14" spans="1:10" s="3" customFormat="1" x14ac:dyDescent="0.25">
      <c r="A14" s="7"/>
      <c r="B14" s="15"/>
      <c r="C14" s="6" t="s">
        <v>11</v>
      </c>
      <c r="D14" s="52" t="str">
        <f ca="1">CONCATENATE(TEXT(DATE(D13-1,D9,1), "yyyy/mm/dd")," - ",TEXT(D11,"yyyy/mm/dd"))</f>
        <v>2024/12/01 - 2025/03/25</v>
      </c>
      <c r="E14" s="52"/>
      <c r="F14" s="31"/>
      <c r="G14" s="12"/>
      <c r="H14" s="12"/>
      <c r="I14" s="16"/>
      <c r="J14" s="16"/>
    </row>
    <row r="15" spans="1:10" s="3" customFormat="1" x14ac:dyDescent="0.25">
      <c r="A15" s="7"/>
      <c r="B15" s="15"/>
      <c r="C15" s="6" t="s">
        <v>12</v>
      </c>
      <c r="D15" s="52" t="str">
        <f ca="1">CONCATENATE(TEXT(DATE(D13-5,D9,1), "yyyy/mm/dd")," - ",TEXT(D11,"yyyy/mm/dd"))</f>
        <v>2020/12/01 - 2025/03/25</v>
      </c>
      <c r="E15" s="52"/>
      <c r="F15" s="31"/>
      <c r="G15" s="12"/>
      <c r="H15" s="12"/>
      <c r="I15" s="16"/>
      <c r="J15" s="16"/>
    </row>
    <row r="16" spans="1:10" s="3" customFormat="1" x14ac:dyDescent="0.25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25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25">
      <c r="A18" s="7"/>
      <c r="B18" s="7"/>
      <c r="C18" s="28" t="str">
        <f ca="1">CONCATENATE(D13," to date")</f>
        <v>2025 to date</v>
      </c>
      <c r="D18" s="29" t="s">
        <v>28</v>
      </c>
      <c r="E18" s="26"/>
      <c r="F18" s="22" t="s">
        <v>28</v>
      </c>
      <c r="G18" s="26"/>
      <c r="H18" s="19"/>
      <c r="I18" s="27"/>
      <c r="J18" s="2"/>
    </row>
    <row r="19" spans="1:13" s="3" customFormat="1" x14ac:dyDescent="0.25">
      <c r="A19" s="7"/>
      <c r="B19" s="7"/>
      <c r="C19" s="28" t="str">
        <f ca="1">CONCATENATE(D13-5," - ",D13)</f>
        <v>2020 - 2025</v>
      </c>
      <c r="D19" s="22" t="s">
        <v>19</v>
      </c>
      <c r="E19" s="39" t="s">
        <v>32</v>
      </c>
      <c r="F19" s="22" t="s">
        <v>28</v>
      </c>
      <c r="G19" s="39"/>
      <c r="H19" s="19"/>
      <c r="I19" s="32"/>
      <c r="J19" s="4"/>
      <c r="K19" s="4"/>
      <c r="L19" s="4"/>
      <c r="M19" s="4"/>
    </row>
    <row r="20" spans="1:13" s="3" customFormat="1" x14ac:dyDescent="0.25">
      <c r="A20" s="7"/>
      <c r="B20" s="7"/>
      <c r="C20" s="28" t="s">
        <v>16</v>
      </c>
      <c r="D20" s="22" t="s">
        <v>28</v>
      </c>
      <c r="E20" s="39"/>
      <c r="F20" s="22" t="s">
        <v>28</v>
      </c>
      <c r="G20" s="39"/>
      <c r="H20" s="19"/>
      <c r="I20" s="27"/>
      <c r="J20" s="4"/>
      <c r="K20" s="4"/>
      <c r="L20" s="4"/>
      <c r="M20" s="4"/>
    </row>
    <row r="21" spans="1:13" s="3" customFormat="1" x14ac:dyDescent="0.25">
      <c r="A21" s="7"/>
      <c r="B21" s="7"/>
      <c r="C21" s="14" t="s">
        <v>5</v>
      </c>
      <c r="D21" s="22" t="s">
        <v>19</v>
      </c>
      <c r="E21" s="39" t="s">
        <v>31</v>
      </c>
      <c r="F21" s="22" t="s">
        <v>28</v>
      </c>
      <c r="G21" s="39"/>
      <c r="H21" s="19"/>
      <c r="I21" s="27"/>
      <c r="J21" s="4"/>
      <c r="K21" s="4"/>
      <c r="L21" s="4"/>
      <c r="M21" s="4"/>
    </row>
    <row r="22" spans="1:13" s="3" customFormat="1" x14ac:dyDescent="0.25">
      <c r="A22" s="7"/>
      <c r="B22" s="7"/>
      <c r="C22" s="47">
        <v>2025</v>
      </c>
      <c r="D22" s="7" t="s">
        <v>28</v>
      </c>
      <c r="E22" s="39"/>
      <c r="F22" s="22" t="s">
        <v>28</v>
      </c>
      <c r="G22" s="39"/>
      <c r="H22" s="19"/>
      <c r="I22" s="27"/>
      <c r="J22" s="4"/>
      <c r="K22" s="4"/>
      <c r="L22" s="4"/>
      <c r="M22" s="4"/>
    </row>
    <row r="23" spans="1:13" s="3" customFormat="1" x14ac:dyDescent="0.25">
      <c r="A23" s="7"/>
      <c r="B23" s="7"/>
      <c r="C23" s="47">
        <v>2024</v>
      </c>
      <c r="D23" s="7" t="s">
        <v>28</v>
      </c>
      <c r="E23" s="39"/>
      <c r="F23" s="22" t="s">
        <v>28</v>
      </c>
      <c r="G23" s="39"/>
      <c r="H23" s="19"/>
      <c r="I23" s="27"/>
      <c r="J23" s="4"/>
      <c r="K23" s="4"/>
      <c r="L23" s="4"/>
      <c r="M23" s="4"/>
    </row>
    <row r="24" spans="1:13" s="3" customFormat="1" x14ac:dyDescent="0.25">
      <c r="A24" s="7"/>
      <c r="B24" s="7"/>
      <c r="C24" s="47">
        <v>2023</v>
      </c>
      <c r="D24" s="7" t="s">
        <v>19</v>
      </c>
      <c r="E24" s="39" t="s">
        <v>30</v>
      </c>
      <c r="F24" s="22" t="s">
        <v>28</v>
      </c>
      <c r="G24" s="39"/>
      <c r="H24" s="19"/>
      <c r="I24" s="27"/>
      <c r="J24" s="4"/>
      <c r="K24" s="4"/>
      <c r="L24" s="4"/>
      <c r="M24" s="4"/>
    </row>
    <row r="25" spans="1:13" s="3" customFormat="1" x14ac:dyDescent="0.25">
      <c r="A25" s="7"/>
      <c r="B25" s="7"/>
      <c r="C25" s="20">
        <v>2022</v>
      </c>
      <c r="D25" s="7" t="s">
        <v>19</v>
      </c>
      <c r="E25" s="39" t="s">
        <v>29</v>
      </c>
      <c r="F25" s="22" t="s">
        <v>28</v>
      </c>
      <c r="G25" s="39"/>
      <c r="H25" s="19"/>
      <c r="I25" s="27"/>
      <c r="J25" s="4"/>
      <c r="K25" s="4"/>
      <c r="L25" s="4"/>
      <c r="M25" s="4"/>
    </row>
    <row r="26" spans="1:13" s="3" customFormat="1" x14ac:dyDescent="0.25">
      <c r="A26" s="7"/>
      <c r="B26" s="7"/>
      <c r="C26" s="20">
        <v>2021</v>
      </c>
      <c r="D26" s="3" t="s">
        <v>19</v>
      </c>
      <c r="E26" s="26" t="s">
        <v>27</v>
      </c>
      <c r="F26" s="23" t="s">
        <v>28</v>
      </c>
      <c r="G26" s="26"/>
      <c r="H26" s="19"/>
      <c r="I26" s="27"/>
      <c r="J26" s="4"/>
    </row>
    <row r="27" spans="1:13" s="3" customFormat="1" x14ac:dyDescent="0.25">
      <c r="A27" s="7"/>
      <c r="B27" s="7"/>
      <c r="C27" s="17">
        <v>2020</v>
      </c>
      <c r="D27" s="22" t="s">
        <v>19</v>
      </c>
      <c r="E27" s="7" t="s">
        <v>26</v>
      </c>
      <c r="F27" s="24" t="s">
        <v>28</v>
      </c>
      <c r="G27" s="19"/>
      <c r="H27" s="19"/>
      <c r="I27" s="27"/>
      <c r="J27" s="4"/>
    </row>
    <row r="28" spans="1:13" s="3" customFormat="1" x14ac:dyDescent="0.25">
      <c r="A28" s="7"/>
      <c r="B28" s="7"/>
      <c r="C28" s="17">
        <v>2019</v>
      </c>
      <c r="D28" s="22" t="s">
        <v>19</v>
      </c>
      <c r="E28" s="7" t="s">
        <v>21</v>
      </c>
      <c r="F28" s="24" t="s">
        <v>28</v>
      </c>
      <c r="G28" s="19"/>
      <c r="H28" s="19"/>
      <c r="I28" s="27"/>
      <c r="J28" s="4"/>
    </row>
    <row r="29" spans="1:13" s="3" customFormat="1" x14ac:dyDescent="0.25">
      <c r="A29" s="7"/>
      <c r="B29" s="7"/>
      <c r="C29" s="17">
        <v>2018</v>
      </c>
      <c r="D29" s="22" t="s">
        <v>19</v>
      </c>
      <c r="E29" s="7" t="s">
        <v>22</v>
      </c>
      <c r="F29" s="24" t="s">
        <v>28</v>
      </c>
      <c r="G29" s="19"/>
      <c r="H29" s="19"/>
      <c r="I29" s="27"/>
      <c r="J29" s="4"/>
    </row>
    <row r="30" spans="1:13" s="3" customFormat="1" x14ac:dyDescent="0.25">
      <c r="A30" s="7"/>
      <c r="B30" s="7"/>
      <c r="C30" s="17">
        <v>2017</v>
      </c>
      <c r="D30" s="22" t="s">
        <v>18</v>
      </c>
      <c r="E30" s="7" t="s">
        <v>23</v>
      </c>
      <c r="F30" s="24" t="s">
        <v>28</v>
      </c>
      <c r="G30" s="19"/>
      <c r="H30" s="19"/>
      <c r="I30" s="27"/>
      <c r="J30" s="4"/>
    </row>
    <row r="31" spans="1:13" s="3" customFormat="1" x14ac:dyDescent="0.25">
      <c r="A31" s="7"/>
      <c r="B31" s="7"/>
      <c r="C31" s="15">
        <v>2016</v>
      </c>
      <c r="D31" s="22" t="s">
        <v>17</v>
      </c>
      <c r="E31" s="7" t="s">
        <v>20</v>
      </c>
      <c r="F31" s="24" t="s">
        <v>28</v>
      </c>
      <c r="G31" s="19"/>
      <c r="H31" s="19"/>
      <c r="I31" s="27"/>
      <c r="J31" s="4"/>
    </row>
    <row r="32" spans="1:13" s="3" customFormat="1" x14ac:dyDescent="0.25">
      <c r="A32" s="7"/>
      <c r="B32" s="7"/>
      <c r="C32" s="15">
        <v>2015</v>
      </c>
      <c r="D32" s="22" t="s">
        <v>18</v>
      </c>
      <c r="E32" s="7" t="s">
        <v>24</v>
      </c>
      <c r="F32" s="24" t="s">
        <v>28</v>
      </c>
      <c r="G32" s="19"/>
      <c r="H32" s="19"/>
      <c r="I32" s="27"/>
      <c r="J32" s="4"/>
    </row>
    <row r="33" spans="1:10" s="3" customFormat="1" x14ac:dyDescent="0.25">
      <c r="A33" s="7"/>
      <c r="B33" s="7"/>
      <c r="C33" s="15">
        <v>2014</v>
      </c>
      <c r="D33" s="22" t="s">
        <v>19</v>
      </c>
      <c r="E33" s="7" t="s">
        <v>25</v>
      </c>
      <c r="F33" s="24" t="s">
        <v>28</v>
      </c>
      <c r="G33" s="19"/>
      <c r="H33" s="19"/>
      <c r="I33" s="27"/>
      <c r="J33" s="4"/>
    </row>
    <row r="34" spans="1:10" s="3" customFormat="1" x14ac:dyDescent="0.25">
      <c r="A34" s="7"/>
      <c r="B34" s="7"/>
      <c r="C34" s="15">
        <v>1899</v>
      </c>
      <c r="D34" s="22" t="s">
        <v>28</v>
      </c>
      <c r="E34" s="7"/>
      <c r="F34" s="24" t="s">
        <v>28</v>
      </c>
      <c r="G34" s="19"/>
      <c r="H34" s="19"/>
      <c r="I34" s="27"/>
      <c r="J34" s="4"/>
    </row>
    <row r="35" spans="1:10" s="3" customFormat="1" x14ac:dyDescent="0.25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25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25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25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25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25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25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25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25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25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25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25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25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25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25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25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25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25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25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25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25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25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25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25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25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25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25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25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25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25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25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25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25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25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25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25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25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25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25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25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25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25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25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25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25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25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25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25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25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25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25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25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25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25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25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25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25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25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25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25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25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25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25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25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25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25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4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18" priority="1" operator="equal">
      <formula>"Not Enough Data"</formula>
    </cfRule>
    <cfRule type="cellIs" dxfId="17" priority="2" operator="equal">
      <formula>"Excellent"</formula>
    </cfRule>
    <cfRule type="cellIs" dxfId="16" priority="3" operator="equal">
      <formula>"Good"</formula>
    </cfRule>
    <cfRule type="cellIs" dxfId="15" priority="4" operator="equal">
      <formula>"Sufficient"</formula>
    </cfRule>
    <cfRule type="cellIs" dxfId="14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44"/>
  <sheetViews>
    <sheetView workbookViewId="0">
      <pane ySplit="1" topLeftCell="A201" activePane="bottomLeft" state="frozen"/>
      <selection pane="bottomLeft" activeCell="B230" sqref="B230"/>
    </sheetView>
  </sheetViews>
  <sheetFormatPr defaultRowHeight="15" x14ac:dyDescent="0.25"/>
  <cols>
    <col min="1" max="1" width="38.42578125" style="46" customWidth="1"/>
    <col min="2" max="2" width="12" style="44" bestFit="1" customWidth="1"/>
  </cols>
  <sheetData>
    <row r="1" spans="1:2" s="1" customFormat="1" x14ac:dyDescent="0.25">
      <c r="A1" s="43" t="s">
        <v>0</v>
      </c>
      <c r="B1" s="49" t="s">
        <v>1</v>
      </c>
    </row>
    <row r="2" spans="1:2" s="1" customFormat="1" x14ac:dyDescent="0.25">
      <c r="A2" s="42">
        <v>41647.336111111108</v>
      </c>
      <c r="B2" s="41">
        <v>24</v>
      </c>
    </row>
    <row r="3" spans="1:2" s="1" customFormat="1" x14ac:dyDescent="0.25">
      <c r="A3" s="42">
        <v>41661.319444444445</v>
      </c>
      <c r="B3" s="41">
        <v>200</v>
      </c>
    </row>
    <row r="4" spans="1:2" s="1" customFormat="1" x14ac:dyDescent="0.25">
      <c r="A4" s="42">
        <v>41675.365972222222</v>
      </c>
      <c r="B4" s="41">
        <v>32</v>
      </c>
    </row>
    <row r="5" spans="1:2" s="1" customFormat="1" x14ac:dyDescent="0.25">
      <c r="A5" s="42">
        <v>41689.388888888891</v>
      </c>
      <c r="B5" s="41">
        <v>28</v>
      </c>
    </row>
    <row r="6" spans="1:2" s="1" customFormat="1" x14ac:dyDescent="0.25">
      <c r="A6" s="42">
        <v>41703.349305555559</v>
      </c>
      <c r="B6" s="41">
        <v>50</v>
      </c>
    </row>
    <row r="7" spans="1:2" s="1" customFormat="1" x14ac:dyDescent="0.25">
      <c r="A7" s="42">
        <v>41717</v>
      </c>
      <c r="B7" s="41">
        <v>100</v>
      </c>
    </row>
    <row r="8" spans="1:2" s="1" customFormat="1" x14ac:dyDescent="0.25">
      <c r="A8" s="42">
        <v>41731.394444444442</v>
      </c>
      <c r="B8" s="41">
        <v>28</v>
      </c>
    </row>
    <row r="9" spans="1:2" s="1" customFormat="1" x14ac:dyDescent="0.25">
      <c r="A9" s="42">
        <v>41745.311111111114</v>
      </c>
      <c r="B9" s="41">
        <v>300</v>
      </c>
    </row>
    <row r="10" spans="1:2" s="1" customFormat="1" x14ac:dyDescent="0.25">
      <c r="A10" s="42">
        <v>41759.337500000001</v>
      </c>
      <c r="B10" s="41">
        <v>18</v>
      </c>
    </row>
    <row r="11" spans="1:2" s="1" customFormat="1" x14ac:dyDescent="0.25">
      <c r="A11" s="42">
        <v>41773</v>
      </c>
      <c r="B11" s="41">
        <v>600</v>
      </c>
    </row>
    <row r="12" spans="1:2" s="1" customFormat="1" x14ac:dyDescent="0.25">
      <c r="A12" s="42">
        <v>41787.332638888889</v>
      </c>
      <c r="B12" s="41">
        <v>6</v>
      </c>
    </row>
    <row r="13" spans="1:2" s="1" customFormat="1" x14ac:dyDescent="0.25">
      <c r="A13" s="42">
        <v>41801.380555555559</v>
      </c>
      <c r="B13" s="41">
        <v>8</v>
      </c>
    </row>
    <row r="14" spans="1:2" s="1" customFormat="1" x14ac:dyDescent="0.25">
      <c r="A14" s="42">
        <v>41815.351388888892</v>
      </c>
      <c r="B14" s="41">
        <v>250</v>
      </c>
    </row>
    <row r="15" spans="1:2" s="1" customFormat="1" x14ac:dyDescent="0.25">
      <c r="A15" s="42">
        <v>41829.383333333331</v>
      </c>
      <c r="B15" s="41">
        <v>32</v>
      </c>
    </row>
    <row r="16" spans="1:2" s="1" customFormat="1" x14ac:dyDescent="0.25">
      <c r="A16" s="42">
        <v>41843.365277777775</v>
      </c>
      <c r="B16" s="41">
        <v>12</v>
      </c>
    </row>
    <row r="17" spans="1:2" s="1" customFormat="1" x14ac:dyDescent="0.25">
      <c r="A17" s="42">
        <v>41857.329861111109</v>
      </c>
      <c r="B17" s="41">
        <v>16</v>
      </c>
    </row>
    <row r="18" spans="1:2" s="1" customFormat="1" x14ac:dyDescent="0.25">
      <c r="A18" s="42">
        <v>41871.356944444444</v>
      </c>
      <c r="B18" s="41">
        <v>32</v>
      </c>
    </row>
    <row r="19" spans="1:2" s="1" customFormat="1" x14ac:dyDescent="0.25">
      <c r="A19" s="42">
        <v>41885.318749999999</v>
      </c>
      <c r="B19" s="41">
        <v>300</v>
      </c>
    </row>
    <row r="20" spans="1:2" s="1" customFormat="1" x14ac:dyDescent="0.25">
      <c r="A20" s="42">
        <v>41899</v>
      </c>
      <c r="B20" s="41">
        <v>40</v>
      </c>
    </row>
    <row r="21" spans="1:2" s="1" customFormat="1" x14ac:dyDescent="0.25">
      <c r="A21" s="42">
        <v>41913.331250000003</v>
      </c>
      <c r="B21" s="41">
        <v>8</v>
      </c>
    </row>
    <row r="22" spans="1:2" s="1" customFormat="1" x14ac:dyDescent="0.25">
      <c r="A22" s="42">
        <v>41927.331944444442</v>
      </c>
      <c r="B22" s="41">
        <v>8</v>
      </c>
    </row>
    <row r="23" spans="1:2" s="1" customFormat="1" x14ac:dyDescent="0.25">
      <c r="A23" s="42">
        <v>41941.324305555558</v>
      </c>
      <c r="B23" s="41">
        <v>10</v>
      </c>
    </row>
    <row r="24" spans="1:2" s="1" customFormat="1" x14ac:dyDescent="0.25">
      <c r="A24" s="42">
        <v>41955.481944444444</v>
      </c>
      <c r="B24" s="41">
        <v>6</v>
      </c>
    </row>
    <row r="25" spans="1:2" s="1" customFormat="1" x14ac:dyDescent="0.25">
      <c r="A25" s="42">
        <v>41969.345833333333</v>
      </c>
      <c r="B25" s="41">
        <v>12</v>
      </c>
    </row>
    <row r="26" spans="1:2" x14ac:dyDescent="0.25">
      <c r="A26" s="42">
        <v>41983.365972222222</v>
      </c>
      <c r="B26" s="41">
        <v>14</v>
      </c>
    </row>
    <row r="27" spans="1:2" x14ac:dyDescent="0.25">
      <c r="A27" s="42">
        <v>41992.431944444441</v>
      </c>
      <c r="B27" s="41">
        <v>5</v>
      </c>
    </row>
    <row r="28" spans="1:2" x14ac:dyDescent="0.25">
      <c r="A28" s="42">
        <v>42011.307638888888</v>
      </c>
      <c r="B28" s="41">
        <v>2</v>
      </c>
    </row>
    <row r="29" spans="1:2" x14ac:dyDescent="0.25">
      <c r="A29" s="42">
        <v>42025.352083333331</v>
      </c>
      <c r="B29" s="41">
        <v>88</v>
      </c>
    </row>
    <row r="30" spans="1:2" x14ac:dyDescent="0.25">
      <c r="A30" s="42">
        <v>42039.365972222222</v>
      </c>
      <c r="B30" s="41">
        <v>6</v>
      </c>
    </row>
    <row r="31" spans="1:2" x14ac:dyDescent="0.25">
      <c r="A31" s="42">
        <v>42053.350694444445</v>
      </c>
      <c r="B31" s="41">
        <v>10</v>
      </c>
    </row>
    <row r="32" spans="1:2" x14ac:dyDescent="0.25">
      <c r="A32" s="42">
        <v>42067.368055555555</v>
      </c>
      <c r="B32" s="41">
        <v>2</v>
      </c>
    </row>
    <row r="33" spans="1:2" x14ac:dyDescent="0.25">
      <c r="A33" s="42">
        <v>42081.329861111109</v>
      </c>
      <c r="B33" s="41">
        <v>6</v>
      </c>
    </row>
    <row r="34" spans="1:2" x14ac:dyDescent="0.25">
      <c r="A34" s="42">
        <v>42094</v>
      </c>
      <c r="B34" s="41">
        <v>46</v>
      </c>
    </row>
    <row r="35" spans="1:2" x14ac:dyDescent="0.25">
      <c r="A35" s="42">
        <v>42109</v>
      </c>
      <c r="B35" s="41">
        <v>68</v>
      </c>
    </row>
    <row r="36" spans="1:2" x14ac:dyDescent="0.25">
      <c r="A36" s="42">
        <v>42123</v>
      </c>
      <c r="B36" s="41">
        <v>2000</v>
      </c>
    </row>
    <row r="37" spans="1:2" x14ac:dyDescent="0.25">
      <c r="A37" s="42">
        <v>42137</v>
      </c>
      <c r="B37" s="41">
        <v>36</v>
      </c>
    </row>
    <row r="38" spans="1:2" x14ac:dyDescent="0.25">
      <c r="A38" s="42">
        <v>42151</v>
      </c>
      <c r="B38" s="41">
        <v>0.66666666699999999</v>
      </c>
    </row>
    <row r="39" spans="1:2" x14ac:dyDescent="0.25">
      <c r="A39" s="42">
        <v>42165</v>
      </c>
      <c r="B39" s="41">
        <v>112</v>
      </c>
    </row>
    <row r="40" spans="1:2" x14ac:dyDescent="0.25">
      <c r="A40" s="42">
        <v>42179</v>
      </c>
      <c r="B40" s="41">
        <v>132</v>
      </c>
    </row>
    <row r="41" spans="1:2" x14ac:dyDescent="0.25">
      <c r="A41" s="42">
        <v>42193</v>
      </c>
      <c r="B41" s="41">
        <v>158</v>
      </c>
    </row>
    <row r="42" spans="1:2" x14ac:dyDescent="0.25">
      <c r="A42" s="42">
        <v>42207</v>
      </c>
      <c r="B42" s="41">
        <v>144</v>
      </c>
    </row>
    <row r="43" spans="1:2" x14ac:dyDescent="0.25">
      <c r="A43" s="42">
        <v>42221</v>
      </c>
      <c r="B43" s="41">
        <v>54</v>
      </c>
    </row>
    <row r="44" spans="1:2" x14ac:dyDescent="0.25">
      <c r="A44" s="42">
        <v>42235</v>
      </c>
      <c r="B44" s="41">
        <v>8</v>
      </c>
    </row>
    <row r="45" spans="1:2" x14ac:dyDescent="0.25">
      <c r="A45" s="42">
        <v>42249</v>
      </c>
      <c r="B45" s="41">
        <v>162</v>
      </c>
    </row>
    <row r="46" spans="1:2" x14ac:dyDescent="0.25">
      <c r="A46" s="42">
        <v>42263</v>
      </c>
      <c r="B46" s="41">
        <v>86</v>
      </c>
    </row>
    <row r="47" spans="1:2" x14ac:dyDescent="0.25">
      <c r="A47" s="42">
        <v>42277</v>
      </c>
      <c r="B47" s="41">
        <v>4</v>
      </c>
    </row>
    <row r="48" spans="1:2" x14ac:dyDescent="0.25">
      <c r="A48" s="42">
        <v>42291</v>
      </c>
      <c r="B48" s="41">
        <v>4</v>
      </c>
    </row>
    <row r="49" spans="1:2" x14ac:dyDescent="0.25">
      <c r="A49" s="42">
        <v>42305</v>
      </c>
      <c r="B49" s="41">
        <v>2</v>
      </c>
    </row>
    <row r="50" spans="1:2" x14ac:dyDescent="0.25">
      <c r="A50" s="42">
        <v>42319</v>
      </c>
      <c r="B50" s="41">
        <v>96</v>
      </c>
    </row>
    <row r="51" spans="1:2" x14ac:dyDescent="0.25">
      <c r="A51" s="42">
        <v>42333</v>
      </c>
      <c r="B51" s="41">
        <v>14</v>
      </c>
    </row>
    <row r="52" spans="1:2" x14ac:dyDescent="0.25">
      <c r="A52" s="42">
        <v>42347</v>
      </c>
      <c r="B52" s="41">
        <v>12</v>
      </c>
    </row>
    <row r="53" spans="1:2" x14ac:dyDescent="0.25">
      <c r="A53" s="42">
        <v>42360</v>
      </c>
      <c r="B53" s="41">
        <v>10</v>
      </c>
    </row>
    <row r="54" spans="1:2" x14ac:dyDescent="0.25">
      <c r="A54" s="42">
        <v>42376</v>
      </c>
      <c r="B54" s="41">
        <v>28</v>
      </c>
    </row>
    <row r="55" spans="1:2" x14ac:dyDescent="0.25">
      <c r="A55" s="42">
        <v>42389</v>
      </c>
      <c r="B55" s="41">
        <v>78</v>
      </c>
    </row>
    <row r="56" spans="1:2" x14ac:dyDescent="0.25">
      <c r="A56" s="42">
        <v>42403</v>
      </c>
      <c r="B56" s="41">
        <v>16</v>
      </c>
    </row>
    <row r="57" spans="1:2" x14ac:dyDescent="0.25">
      <c r="A57" s="42">
        <v>42417</v>
      </c>
      <c r="B57" s="41">
        <v>148</v>
      </c>
    </row>
    <row r="58" spans="1:2" x14ac:dyDescent="0.25">
      <c r="A58" s="42">
        <v>42431</v>
      </c>
      <c r="B58" s="41">
        <v>14</v>
      </c>
    </row>
    <row r="59" spans="1:2" x14ac:dyDescent="0.25">
      <c r="A59" s="42">
        <v>42445</v>
      </c>
      <c r="B59" s="41">
        <v>42</v>
      </c>
    </row>
    <row r="60" spans="1:2" x14ac:dyDescent="0.25">
      <c r="A60" s="42">
        <v>42459</v>
      </c>
      <c r="B60" s="41">
        <v>144</v>
      </c>
    </row>
    <row r="61" spans="1:2" x14ac:dyDescent="0.25">
      <c r="A61" s="42">
        <v>42473</v>
      </c>
      <c r="B61" s="41">
        <v>34</v>
      </c>
    </row>
    <row r="62" spans="1:2" x14ac:dyDescent="0.25">
      <c r="A62" s="42">
        <v>42486</v>
      </c>
      <c r="B62" s="41">
        <v>36</v>
      </c>
    </row>
    <row r="63" spans="1:2" x14ac:dyDescent="0.25">
      <c r="A63" s="42">
        <v>42501</v>
      </c>
      <c r="B63" s="41">
        <v>114</v>
      </c>
    </row>
    <row r="64" spans="1:2" x14ac:dyDescent="0.25">
      <c r="A64" s="42">
        <v>42515</v>
      </c>
      <c r="B64" s="41">
        <v>34</v>
      </c>
    </row>
    <row r="65" spans="1:2" x14ac:dyDescent="0.25">
      <c r="A65" s="42">
        <v>42529</v>
      </c>
      <c r="B65" s="41">
        <v>6</v>
      </c>
    </row>
    <row r="66" spans="1:2" x14ac:dyDescent="0.25">
      <c r="A66" s="42">
        <v>42543</v>
      </c>
      <c r="B66" s="41">
        <v>24</v>
      </c>
    </row>
    <row r="67" spans="1:2" x14ac:dyDescent="0.25">
      <c r="A67" s="42">
        <v>42557</v>
      </c>
      <c r="B67" s="41">
        <v>124</v>
      </c>
    </row>
    <row r="68" spans="1:2" x14ac:dyDescent="0.25">
      <c r="A68" s="42">
        <v>42571</v>
      </c>
      <c r="B68" s="41">
        <v>74</v>
      </c>
    </row>
    <row r="69" spans="1:2" x14ac:dyDescent="0.25">
      <c r="A69" s="42">
        <v>42586</v>
      </c>
      <c r="B69" s="41">
        <v>0.66666666699999999</v>
      </c>
    </row>
    <row r="70" spans="1:2" x14ac:dyDescent="0.25">
      <c r="A70" s="42">
        <v>42599</v>
      </c>
      <c r="B70" s="41">
        <v>76</v>
      </c>
    </row>
    <row r="71" spans="1:2" x14ac:dyDescent="0.25">
      <c r="A71" s="42">
        <v>42613</v>
      </c>
      <c r="B71" s="41">
        <v>32</v>
      </c>
    </row>
    <row r="72" spans="1:2" x14ac:dyDescent="0.25">
      <c r="A72" s="42">
        <v>42627</v>
      </c>
      <c r="B72" s="41">
        <v>0.66666666699999999</v>
      </c>
    </row>
    <row r="73" spans="1:2" x14ac:dyDescent="0.25">
      <c r="A73" s="42">
        <v>42641</v>
      </c>
      <c r="B73" s="41">
        <v>22</v>
      </c>
    </row>
    <row r="74" spans="1:2" x14ac:dyDescent="0.25">
      <c r="A74" s="42">
        <v>42655</v>
      </c>
      <c r="B74" s="41">
        <v>4</v>
      </c>
    </row>
    <row r="75" spans="1:2" x14ac:dyDescent="0.25">
      <c r="A75" s="42">
        <v>42669</v>
      </c>
      <c r="B75" s="41">
        <v>14</v>
      </c>
    </row>
    <row r="76" spans="1:2" x14ac:dyDescent="0.25">
      <c r="A76" s="42">
        <v>42683</v>
      </c>
      <c r="B76" s="41">
        <v>4</v>
      </c>
    </row>
    <row r="77" spans="1:2" x14ac:dyDescent="0.25">
      <c r="A77" s="42">
        <v>42697</v>
      </c>
      <c r="B77" s="41">
        <v>16.666666670000001</v>
      </c>
    </row>
    <row r="78" spans="1:2" x14ac:dyDescent="0.25">
      <c r="A78" s="42">
        <v>42711</v>
      </c>
      <c r="B78" s="41">
        <v>20</v>
      </c>
    </row>
    <row r="79" spans="1:2" x14ac:dyDescent="0.25">
      <c r="A79" s="42">
        <v>42725</v>
      </c>
      <c r="B79" s="41">
        <v>0.66666666699999999</v>
      </c>
    </row>
    <row r="80" spans="1:2" x14ac:dyDescent="0.25">
      <c r="A80" s="42">
        <v>42740</v>
      </c>
      <c r="B80" s="41">
        <v>164</v>
      </c>
    </row>
    <row r="81" spans="1:2" x14ac:dyDescent="0.25">
      <c r="A81" s="42">
        <v>42753</v>
      </c>
      <c r="B81" s="41">
        <v>0.66666666699999999</v>
      </c>
    </row>
    <row r="82" spans="1:2" x14ac:dyDescent="0.25">
      <c r="A82" s="42">
        <v>42767</v>
      </c>
      <c r="B82" s="41">
        <v>42</v>
      </c>
    </row>
    <row r="83" spans="1:2" x14ac:dyDescent="0.25">
      <c r="A83" s="42">
        <v>42781</v>
      </c>
      <c r="B83" s="41">
        <v>24</v>
      </c>
    </row>
    <row r="84" spans="1:2" x14ac:dyDescent="0.25">
      <c r="A84" s="42">
        <v>42795</v>
      </c>
      <c r="B84" s="41">
        <v>64</v>
      </c>
    </row>
    <row r="85" spans="1:2" x14ac:dyDescent="0.25">
      <c r="A85" s="42">
        <v>42809</v>
      </c>
      <c r="B85" s="41">
        <v>26</v>
      </c>
    </row>
    <row r="86" spans="1:2" x14ac:dyDescent="0.25">
      <c r="A86" s="42">
        <v>42823</v>
      </c>
      <c r="B86" s="41">
        <v>126</v>
      </c>
    </row>
    <row r="87" spans="1:2" x14ac:dyDescent="0.25">
      <c r="A87" s="42">
        <v>42836</v>
      </c>
      <c r="B87" s="41">
        <v>16</v>
      </c>
    </row>
    <row r="88" spans="1:2" x14ac:dyDescent="0.25">
      <c r="A88" s="42">
        <v>42851</v>
      </c>
      <c r="B88" s="41">
        <v>16</v>
      </c>
    </row>
    <row r="89" spans="1:2" x14ac:dyDescent="0.25">
      <c r="A89" s="42">
        <v>42865</v>
      </c>
      <c r="B89" s="41">
        <v>2</v>
      </c>
    </row>
    <row r="90" spans="1:2" x14ac:dyDescent="0.25">
      <c r="A90" s="42">
        <v>42879</v>
      </c>
      <c r="B90" s="41">
        <v>36</v>
      </c>
    </row>
    <row r="91" spans="1:2" x14ac:dyDescent="0.25">
      <c r="A91" s="42">
        <v>42893</v>
      </c>
      <c r="B91" s="41">
        <v>5050</v>
      </c>
    </row>
    <row r="92" spans="1:2" x14ac:dyDescent="0.25">
      <c r="A92" s="42">
        <v>42907</v>
      </c>
      <c r="B92" s="41">
        <v>18</v>
      </c>
    </row>
    <row r="93" spans="1:2" x14ac:dyDescent="0.25">
      <c r="A93" s="42">
        <v>42921</v>
      </c>
      <c r="B93" s="41">
        <v>14</v>
      </c>
    </row>
    <row r="94" spans="1:2" x14ac:dyDescent="0.25">
      <c r="A94" s="42">
        <v>42935</v>
      </c>
      <c r="B94" s="41">
        <v>28</v>
      </c>
    </row>
    <row r="95" spans="1:2" x14ac:dyDescent="0.25">
      <c r="A95" s="42">
        <v>42949</v>
      </c>
      <c r="B95" s="41">
        <v>4</v>
      </c>
    </row>
    <row r="96" spans="1:2" x14ac:dyDescent="0.25">
      <c r="A96" s="42">
        <v>42963</v>
      </c>
      <c r="B96" s="41">
        <v>96</v>
      </c>
    </row>
    <row r="97" spans="1:2" x14ac:dyDescent="0.25">
      <c r="A97" s="42">
        <v>42977</v>
      </c>
      <c r="B97" s="41">
        <v>48</v>
      </c>
    </row>
    <row r="98" spans="1:2" x14ac:dyDescent="0.25">
      <c r="A98" s="42">
        <v>42991</v>
      </c>
      <c r="B98" s="41">
        <v>72</v>
      </c>
    </row>
    <row r="99" spans="1:2" x14ac:dyDescent="0.25">
      <c r="A99" s="42">
        <v>43005</v>
      </c>
      <c r="B99" s="41">
        <v>36</v>
      </c>
    </row>
    <row r="100" spans="1:2" x14ac:dyDescent="0.25">
      <c r="A100" s="42">
        <v>43019</v>
      </c>
      <c r="B100" s="41">
        <v>10</v>
      </c>
    </row>
    <row r="101" spans="1:2" x14ac:dyDescent="0.25">
      <c r="A101" s="42">
        <v>43033</v>
      </c>
      <c r="B101" s="41">
        <v>4</v>
      </c>
    </row>
    <row r="102" spans="1:2" x14ac:dyDescent="0.25">
      <c r="A102" s="42">
        <v>43047</v>
      </c>
      <c r="B102" s="41">
        <v>0.66666666699999999</v>
      </c>
    </row>
    <row r="103" spans="1:2" x14ac:dyDescent="0.25">
      <c r="A103" s="42">
        <v>43061</v>
      </c>
      <c r="B103" s="41">
        <v>28</v>
      </c>
    </row>
    <row r="104" spans="1:2" x14ac:dyDescent="0.25">
      <c r="A104" s="42">
        <v>43075</v>
      </c>
      <c r="B104" s="41">
        <v>42</v>
      </c>
    </row>
    <row r="105" spans="1:2" x14ac:dyDescent="0.25">
      <c r="A105" s="42">
        <v>43089</v>
      </c>
      <c r="B105" s="41">
        <v>0.66666666699999999</v>
      </c>
    </row>
    <row r="106" spans="1:2" x14ac:dyDescent="0.25">
      <c r="A106" s="42">
        <v>43103</v>
      </c>
      <c r="B106" s="41">
        <v>66</v>
      </c>
    </row>
    <row r="107" spans="1:2" x14ac:dyDescent="0.25">
      <c r="A107" s="42">
        <v>43117</v>
      </c>
      <c r="B107" s="41">
        <v>15000</v>
      </c>
    </row>
    <row r="108" spans="1:2" x14ac:dyDescent="0.25">
      <c r="A108" s="42">
        <v>43131</v>
      </c>
      <c r="B108" s="41">
        <v>86</v>
      </c>
    </row>
    <row r="109" spans="1:2" x14ac:dyDescent="0.25">
      <c r="A109" s="42">
        <v>43145</v>
      </c>
      <c r="B109" s="41">
        <v>102</v>
      </c>
    </row>
    <row r="110" spans="1:2" x14ac:dyDescent="0.25">
      <c r="A110" s="42">
        <v>43159</v>
      </c>
      <c r="B110" s="41">
        <v>10</v>
      </c>
    </row>
    <row r="111" spans="1:2" x14ac:dyDescent="0.25">
      <c r="A111" s="42">
        <v>43173</v>
      </c>
      <c r="B111" s="41">
        <v>6</v>
      </c>
    </row>
    <row r="112" spans="1:2" x14ac:dyDescent="0.25">
      <c r="A112" s="42">
        <v>43186</v>
      </c>
      <c r="B112" s="41">
        <v>80</v>
      </c>
    </row>
    <row r="113" spans="1:2" x14ac:dyDescent="0.25">
      <c r="A113" s="42">
        <v>43201</v>
      </c>
      <c r="B113" s="41">
        <v>350</v>
      </c>
    </row>
    <row r="114" spans="1:2" x14ac:dyDescent="0.25">
      <c r="A114" s="42">
        <v>43215</v>
      </c>
      <c r="B114" s="41">
        <v>14</v>
      </c>
    </row>
    <row r="115" spans="1:2" x14ac:dyDescent="0.25">
      <c r="A115" s="42">
        <v>43229</v>
      </c>
      <c r="B115" s="41">
        <v>22</v>
      </c>
    </row>
    <row r="116" spans="1:2" x14ac:dyDescent="0.25">
      <c r="A116" s="42">
        <v>43243</v>
      </c>
      <c r="B116" s="41">
        <v>28</v>
      </c>
    </row>
    <row r="117" spans="1:2" x14ac:dyDescent="0.25">
      <c r="A117" s="42">
        <v>43257</v>
      </c>
      <c r="B117" s="41">
        <v>10</v>
      </c>
    </row>
    <row r="118" spans="1:2" x14ac:dyDescent="0.25">
      <c r="A118" s="42">
        <v>43271</v>
      </c>
      <c r="B118" s="41">
        <v>76</v>
      </c>
    </row>
    <row r="119" spans="1:2" x14ac:dyDescent="0.25">
      <c r="A119" s="42">
        <v>43285</v>
      </c>
      <c r="B119" s="41">
        <v>28</v>
      </c>
    </row>
    <row r="120" spans="1:2" x14ac:dyDescent="0.25">
      <c r="A120" s="42">
        <v>43299</v>
      </c>
      <c r="B120" s="41">
        <v>300</v>
      </c>
    </row>
    <row r="121" spans="1:2" x14ac:dyDescent="0.25">
      <c r="A121" s="42">
        <v>43313</v>
      </c>
      <c r="B121" s="41">
        <v>34</v>
      </c>
    </row>
    <row r="122" spans="1:2" x14ac:dyDescent="0.25">
      <c r="A122" s="42">
        <v>43327</v>
      </c>
      <c r="B122" s="41">
        <v>68</v>
      </c>
    </row>
    <row r="123" spans="1:2" x14ac:dyDescent="0.25">
      <c r="A123" s="42">
        <v>43341</v>
      </c>
      <c r="B123" s="41">
        <v>72</v>
      </c>
    </row>
    <row r="124" spans="1:2" x14ac:dyDescent="0.25">
      <c r="A124" s="42">
        <v>43355</v>
      </c>
      <c r="B124" s="41">
        <v>14</v>
      </c>
    </row>
    <row r="125" spans="1:2" x14ac:dyDescent="0.25">
      <c r="A125" s="42">
        <v>43369</v>
      </c>
      <c r="B125" s="41">
        <v>32</v>
      </c>
    </row>
    <row r="126" spans="1:2" x14ac:dyDescent="0.25">
      <c r="A126" s="42">
        <v>43383</v>
      </c>
      <c r="B126" s="41">
        <v>950</v>
      </c>
    </row>
    <row r="127" spans="1:2" x14ac:dyDescent="0.25">
      <c r="A127" s="42">
        <v>43397.375</v>
      </c>
      <c r="B127" s="41">
        <v>0.66666666699999999</v>
      </c>
    </row>
    <row r="128" spans="1:2" x14ac:dyDescent="0.25">
      <c r="A128" s="42">
        <v>43411.335416666669</v>
      </c>
      <c r="B128" s="41">
        <v>24</v>
      </c>
    </row>
    <row r="129" spans="1:2" x14ac:dyDescent="0.25">
      <c r="A129" s="42">
        <v>43425.318055555559</v>
      </c>
      <c r="B129" s="41">
        <v>12</v>
      </c>
    </row>
    <row r="130" spans="1:2" x14ac:dyDescent="0.25">
      <c r="A130" s="42">
        <v>43439</v>
      </c>
      <c r="B130" s="41">
        <v>40</v>
      </c>
    </row>
    <row r="131" spans="1:2" x14ac:dyDescent="0.25">
      <c r="A131" s="42">
        <v>43453.335416666669</v>
      </c>
      <c r="B131" s="41">
        <v>0.66666666699999999</v>
      </c>
    </row>
    <row r="132" spans="1:2" x14ac:dyDescent="0.25">
      <c r="A132" s="42">
        <v>43481.332638888889</v>
      </c>
      <c r="B132" s="41">
        <v>150</v>
      </c>
    </row>
    <row r="133" spans="1:2" x14ac:dyDescent="0.25">
      <c r="A133" s="42">
        <v>43495</v>
      </c>
      <c r="B133" s="41">
        <v>100</v>
      </c>
    </row>
    <row r="134" spans="1:2" x14ac:dyDescent="0.25">
      <c r="A134" s="42">
        <v>43509.348611111112</v>
      </c>
      <c r="B134" s="41">
        <v>62</v>
      </c>
    </row>
    <row r="135" spans="1:2" x14ac:dyDescent="0.25">
      <c r="A135" s="42">
        <v>43523.352777777778</v>
      </c>
      <c r="B135" s="41">
        <v>1100</v>
      </c>
    </row>
    <row r="136" spans="1:2" x14ac:dyDescent="0.25">
      <c r="A136" s="42">
        <v>43537</v>
      </c>
      <c r="B136" s="41">
        <v>20</v>
      </c>
    </row>
    <row r="137" spans="1:2" x14ac:dyDescent="0.25">
      <c r="A137" s="42">
        <v>43551</v>
      </c>
      <c r="B137" s="41">
        <v>64</v>
      </c>
    </row>
    <row r="138" spans="1:2" x14ac:dyDescent="0.25">
      <c r="A138" s="42">
        <v>43565</v>
      </c>
      <c r="B138" s="41">
        <v>150</v>
      </c>
    </row>
    <row r="139" spans="1:2" x14ac:dyDescent="0.25">
      <c r="A139" s="42">
        <v>43579</v>
      </c>
      <c r="B139" s="41">
        <v>600</v>
      </c>
    </row>
    <row r="140" spans="1:2" x14ac:dyDescent="0.25">
      <c r="A140" s="42">
        <v>43592</v>
      </c>
      <c r="B140" s="44">
        <v>6</v>
      </c>
    </row>
    <row r="141" spans="1:2" x14ac:dyDescent="0.25">
      <c r="A141" s="42">
        <v>43607</v>
      </c>
      <c r="B141" s="44">
        <v>2</v>
      </c>
    </row>
    <row r="142" spans="1:2" x14ac:dyDescent="0.25">
      <c r="A142" s="42">
        <v>43621</v>
      </c>
      <c r="B142" s="44">
        <v>450</v>
      </c>
    </row>
    <row r="143" spans="1:2" x14ac:dyDescent="0.25">
      <c r="A143" s="42">
        <v>43635</v>
      </c>
      <c r="B143" s="44">
        <v>2</v>
      </c>
    </row>
    <row r="144" spans="1:2" x14ac:dyDescent="0.25">
      <c r="A144" s="42">
        <v>43649</v>
      </c>
      <c r="B144" s="44">
        <v>28</v>
      </c>
    </row>
    <row r="145" spans="1:2" x14ac:dyDescent="0.25">
      <c r="A145" s="42">
        <v>43663</v>
      </c>
      <c r="B145" s="44">
        <v>158</v>
      </c>
    </row>
    <row r="146" spans="1:2" x14ac:dyDescent="0.25">
      <c r="A146" s="42">
        <v>43677</v>
      </c>
      <c r="B146" s="44">
        <v>28</v>
      </c>
    </row>
    <row r="147" spans="1:2" x14ac:dyDescent="0.25">
      <c r="A147" s="42">
        <v>43691</v>
      </c>
      <c r="B147" s="44">
        <v>66</v>
      </c>
    </row>
    <row r="148" spans="1:2" x14ac:dyDescent="0.25">
      <c r="A148" s="42">
        <v>43705</v>
      </c>
      <c r="B148" s="44">
        <v>112</v>
      </c>
    </row>
    <row r="149" spans="1:2" x14ac:dyDescent="0.25">
      <c r="A149" s="42">
        <v>43747</v>
      </c>
      <c r="B149" s="44">
        <v>250</v>
      </c>
    </row>
    <row r="150" spans="1:2" x14ac:dyDescent="0.25">
      <c r="A150" s="42">
        <v>43761</v>
      </c>
      <c r="B150" s="44">
        <v>20</v>
      </c>
    </row>
    <row r="151" spans="1:2" x14ac:dyDescent="0.25">
      <c r="A151" s="42">
        <v>43775</v>
      </c>
      <c r="B151" s="44">
        <v>34</v>
      </c>
    </row>
    <row r="152" spans="1:2" x14ac:dyDescent="0.25">
      <c r="A152" s="42">
        <v>43789</v>
      </c>
      <c r="B152" s="44">
        <v>18</v>
      </c>
    </row>
    <row r="153" spans="1:2" x14ac:dyDescent="0.25">
      <c r="A153" s="46">
        <v>43804</v>
      </c>
      <c r="B153" s="44">
        <v>198</v>
      </c>
    </row>
    <row r="154" spans="1:2" x14ac:dyDescent="0.25">
      <c r="A154" s="46">
        <v>43817</v>
      </c>
      <c r="B154" s="44">
        <v>196</v>
      </c>
    </row>
    <row r="155" spans="1:2" x14ac:dyDescent="0.25">
      <c r="A155" s="46">
        <v>43828</v>
      </c>
      <c r="B155" s="44">
        <v>2</v>
      </c>
    </row>
    <row r="156" spans="1:2" x14ac:dyDescent="0.25">
      <c r="A156" s="46">
        <v>43845</v>
      </c>
      <c r="B156" s="44">
        <v>158</v>
      </c>
    </row>
    <row r="157" spans="1:2" x14ac:dyDescent="0.25">
      <c r="A157" s="46">
        <v>43859</v>
      </c>
      <c r="B157" s="44">
        <v>6</v>
      </c>
    </row>
    <row r="158" spans="1:2" x14ac:dyDescent="0.25">
      <c r="A158" s="46">
        <v>43873</v>
      </c>
      <c r="B158" s="44">
        <v>250</v>
      </c>
    </row>
    <row r="159" spans="1:2" x14ac:dyDescent="0.25">
      <c r="A159" s="46">
        <v>43887</v>
      </c>
      <c r="B159" s="44">
        <v>1350</v>
      </c>
    </row>
    <row r="160" spans="1:2" x14ac:dyDescent="0.25">
      <c r="A160" s="46">
        <v>43901</v>
      </c>
      <c r="B160" s="44">
        <v>84</v>
      </c>
    </row>
    <row r="161" spans="1:2" x14ac:dyDescent="0.25">
      <c r="A161" s="42">
        <v>43985</v>
      </c>
      <c r="B161" s="41">
        <v>8</v>
      </c>
    </row>
    <row r="162" spans="1:2" x14ac:dyDescent="0.25">
      <c r="A162" s="42">
        <v>43999</v>
      </c>
      <c r="B162" s="41">
        <v>4</v>
      </c>
    </row>
    <row r="163" spans="1:2" x14ac:dyDescent="0.25">
      <c r="A163" s="42">
        <v>44013</v>
      </c>
      <c r="B163" s="41">
        <v>2.7788744720027396</v>
      </c>
    </row>
    <row r="164" spans="1:2" x14ac:dyDescent="0.25">
      <c r="A164" s="42">
        <v>44027</v>
      </c>
      <c r="B164" s="41">
        <v>26</v>
      </c>
    </row>
    <row r="165" spans="1:2" x14ac:dyDescent="0.25">
      <c r="A165" s="46">
        <v>44041</v>
      </c>
      <c r="B165" s="41">
        <v>6</v>
      </c>
    </row>
    <row r="166" spans="1:2" x14ac:dyDescent="0.25">
      <c r="A166" s="42">
        <v>44059</v>
      </c>
      <c r="B166" s="41">
        <v>800</v>
      </c>
    </row>
    <row r="167" spans="1:2" x14ac:dyDescent="0.25">
      <c r="A167" s="42">
        <v>44069</v>
      </c>
      <c r="B167" s="41">
        <v>48</v>
      </c>
    </row>
    <row r="168" spans="1:2" x14ac:dyDescent="0.25">
      <c r="A168" s="42">
        <v>44083</v>
      </c>
      <c r="B168" s="41">
        <v>2</v>
      </c>
    </row>
    <row r="169" spans="1:2" x14ac:dyDescent="0.25">
      <c r="A169" s="42">
        <v>44097</v>
      </c>
      <c r="B169" s="41">
        <v>38</v>
      </c>
    </row>
    <row r="170" spans="1:2" x14ac:dyDescent="0.25">
      <c r="A170" s="42">
        <v>44111</v>
      </c>
      <c r="B170" s="41">
        <v>116</v>
      </c>
    </row>
    <row r="171" spans="1:2" x14ac:dyDescent="0.25">
      <c r="A171" s="42">
        <v>44125</v>
      </c>
      <c r="B171" s="41">
        <v>4</v>
      </c>
    </row>
    <row r="172" spans="1:2" x14ac:dyDescent="0.25">
      <c r="A172" s="46">
        <v>44139</v>
      </c>
      <c r="B172" s="41">
        <v>4</v>
      </c>
    </row>
    <row r="173" spans="1:2" x14ac:dyDescent="0.25">
      <c r="A173" s="42">
        <v>44153</v>
      </c>
      <c r="B173" s="41">
        <f>2/3</f>
        <v>0.66666666666666663</v>
      </c>
    </row>
    <row r="174" spans="1:2" x14ac:dyDescent="0.25">
      <c r="A174" s="46">
        <v>44167</v>
      </c>
      <c r="B174" s="41">
        <f>2/3</f>
        <v>0.66666666666666663</v>
      </c>
    </row>
    <row r="175" spans="1:2" x14ac:dyDescent="0.25">
      <c r="A175" s="46">
        <v>44178</v>
      </c>
      <c r="B175" s="41">
        <v>14</v>
      </c>
    </row>
    <row r="176" spans="1:2" x14ac:dyDescent="0.25">
      <c r="A176" s="46">
        <v>44195</v>
      </c>
      <c r="B176" s="41">
        <v>4</v>
      </c>
    </row>
    <row r="177" spans="1:2" x14ac:dyDescent="0.25">
      <c r="A177" s="46">
        <v>44223</v>
      </c>
      <c r="B177" s="41">
        <v>144</v>
      </c>
    </row>
    <row r="178" spans="1:2" x14ac:dyDescent="0.25">
      <c r="A178" s="46">
        <v>44237</v>
      </c>
      <c r="B178" s="41">
        <v>48</v>
      </c>
    </row>
    <row r="179" spans="1:2" x14ac:dyDescent="0.25">
      <c r="A179" s="46">
        <v>44265</v>
      </c>
      <c r="B179" s="41">
        <v>10</v>
      </c>
    </row>
    <row r="180" spans="1:2" x14ac:dyDescent="0.25">
      <c r="A180" s="46">
        <v>44293</v>
      </c>
      <c r="B180" s="41">
        <v>148</v>
      </c>
    </row>
    <row r="181" spans="1:2" x14ac:dyDescent="0.25">
      <c r="A181" s="46">
        <v>44307</v>
      </c>
      <c r="B181" s="41">
        <v>208</v>
      </c>
    </row>
    <row r="182" spans="1:2" x14ac:dyDescent="0.25">
      <c r="A182" s="46">
        <v>44321</v>
      </c>
      <c r="B182" s="41">
        <v>4000</v>
      </c>
    </row>
    <row r="183" spans="1:2" x14ac:dyDescent="0.25">
      <c r="A183" s="46">
        <v>44349</v>
      </c>
      <c r="B183" s="41">
        <v>3200</v>
      </c>
    </row>
    <row r="184" spans="1:2" x14ac:dyDescent="0.25">
      <c r="A184" s="46">
        <v>44405</v>
      </c>
      <c r="B184" s="44">
        <f>5000*3</f>
        <v>15000</v>
      </c>
    </row>
    <row r="185" spans="1:2" x14ac:dyDescent="0.25">
      <c r="A185" s="46">
        <v>44433</v>
      </c>
      <c r="B185" s="44">
        <v>52</v>
      </c>
    </row>
    <row r="186" spans="1:2" x14ac:dyDescent="0.25">
      <c r="A186" s="46">
        <v>44447</v>
      </c>
      <c r="B186" s="44">
        <f>200*3</f>
        <v>600</v>
      </c>
    </row>
    <row r="187" spans="1:2" x14ac:dyDescent="0.25">
      <c r="A187" s="46">
        <v>44461</v>
      </c>
      <c r="B187" s="44">
        <v>2550</v>
      </c>
    </row>
    <row r="188" spans="1:2" x14ac:dyDescent="0.25">
      <c r="A188" s="46">
        <v>44475</v>
      </c>
      <c r="B188" s="44">
        <v>2300</v>
      </c>
    </row>
    <row r="189" spans="1:2" x14ac:dyDescent="0.25">
      <c r="A189" s="46">
        <v>44517</v>
      </c>
      <c r="B189" s="44">
        <v>10</v>
      </c>
    </row>
    <row r="190" spans="1:2" x14ac:dyDescent="0.25">
      <c r="A190" s="46">
        <v>44573</v>
      </c>
      <c r="B190" s="44">
        <v>620</v>
      </c>
    </row>
    <row r="191" spans="1:2" x14ac:dyDescent="0.25">
      <c r="A191" s="46">
        <v>44587</v>
      </c>
      <c r="B191" s="44">
        <v>20</v>
      </c>
    </row>
    <row r="192" spans="1:2" x14ac:dyDescent="0.25">
      <c r="A192" s="46">
        <v>44601</v>
      </c>
      <c r="B192" s="44">
        <v>180</v>
      </c>
    </row>
    <row r="193" spans="1:2" x14ac:dyDescent="0.25">
      <c r="A193" s="46">
        <v>44629</v>
      </c>
      <c r="B193" s="44">
        <v>2755</v>
      </c>
    </row>
    <row r="194" spans="1:2" x14ac:dyDescent="0.25">
      <c r="A194" s="46">
        <v>44685</v>
      </c>
      <c r="B194" s="44">
        <v>676</v>
      </c>
    </row>
    <row r="195" spans="1:2" x14ac:dyDescent="0.25">
      <c r="A195" s="46">
        <v>44700</v>
      </c>
      <c r="B195" s="44">
        <v>4352</v>
      </c>
    </row>
    <row r="196" spans="1:2" x14ac:dyDescent="0.25">
      <c r="A196" s="46">
        <v>44713</v>
      </c>
      <c r="B196" s="44">
        <v>48</v>
      </c>
    </row>
    <row r="197" spans="1:2" x14ac:dyDescent="0.25">
      <c r="A197" s="46">
        <v>44727</v>
      </c>
      <c r="B197" s="44">
        <v>9804</v>
      </c>
    </row>
    <row r="198" spans="1:2" x14ac:dyDescent="0.25">
      <c r="A198" s="46">
        <v>44741</v>
      </c>
      <c r="B198" s="44">
        <v>41</v>
      </c>
    </row>
    <row r="199" spans="1:2" x14ac:dyDescent="0.25">
      <c r="A199" s="46">
        <v>44755</v>
      </c>
      <c r="B199" s="44">
        <v>5</v>
      </c>
    </row>
    <row r="200" spans="1:2" x14ac:dyDescent="0.25">
      <c r="A200" s="46">
        <v>44769</v>
      </c>
      <c r="B200" s="44">
        <v>370</v>
      </c>
    </row>
    <row r="201" spans="1:2" x14ac:dyDescent="0.25">
      <c r="A201" s="46">
        <v>44797</v>
      </c>
      <c r="B201" s="44">
        <v>90</v>
      </c>
    </row>
    <row r="202" spans="1:2" x14ac:dyDescent="0.25">
      <c r="A202" s="46">
        <v>44825</v>
      </c>
      <c r="B202" s="44">
        <v>10</v>
      </c>
    </row>
    <row r="203" spans="1:2" x14ac:dyDescent="0.25">
      <c r="A203" s="46">
        <v>44928</v>
      </c>
      <c r="B203" s="44">
        <v>517</v>
      </c>
    </row>
    <row r="204" spans="1:2" x14ac:dyDescent="0.25">
      <c r="A204" s="46">
        <v>44937</v>
      </c>
      <c r="B204" s="44">
        <v>517</v>
      </c>
    </row>
    <row r="205" spans="1:2" x14ac:dyDescent="0.25">
      <c r="A205" s="46">
        <v>44951</v>
      </c>
      <c r="B205" s="44">
        <f>2420*3</f>
        <v>7260</v>
      </c>
    </row>
    <row r="206" spans="1:2" x14ac:dyDescent="0.25">
      <c r="A206" s="46">
        <v>44993</v>
      </c>
      <c r="B206" s="44">
        <v>51</v>
      </c>
    </row>
    <row r="207" spans="1:2" x14ac:dyDescent="0.25">
      <c r="A207" s="46">
        <v>45021</v>
      </c>
      <c r="B207" s="44">
        <v>6131</v>
      </c>
    </row>
    <row r="208" spans="1:2" x14ac:dyDescent="0.25">
      <c r="A208" s="46">
        <v>45022</v>
      </c>
      <c r="B208" s="44">
        <v>6131</v>
      </c>
    </row>
    <row r="209" spans="1:2" x14ac:dyDescent="0.25">
      <c r="A209" s="46">
        <v>45036</v>
      </c>
      <c r="B209" s="44">
        <v>488</v>
      </c>
    </row>
    <row r="210" spans="1:2" x14ac:dyDescent="0.25">
      <c r="A210" s="46">
        <v>45058</v>
      </c>
      <c r="B210" s="44">
        <v>1300</v>
      </c>
    </row>
    <row r="211" spans="1:2" x14ac:dyDescent="0.25">
      <c r="A211" s="46">
        <v>45063</v>
      </c>
      <c r="B211" s="44">
        <v>548</v>
      </c>
    </row>
    <row r="212" spans="1:2" x14ac:dyDescent="0.25">
      <c r="A212" s="46">
        <v>45091</v>
      </c>
      <c r="B212" s="44">
        <v>155</v>
      </c>
    </row>
    <row r="213" spans="1:2" x14ac:dyDescent="0.25">
      <c r="A213" s="46">
        <v>45105</v>
      </c>
      <c r="B213" s="44">
        <v>141</v>
      </c>
    </row>
    <row r="214" spans="1:2" x14ac:dyDescent="0.25">
      <c r="A214" s="46">
        <v>45119</v>
      </c>
      <c r="B214" s="44">
        <v>196</v>
      </c>
    </row>
    <row r="215" spans="1:2" x14ac:dyDescent="0.25">
      <c r="A215" s="46">
        <v>45133</v>
      </c>
      <c r="B215" s="44">
        <v>45</v>
      </c>
    </row>
    <row r="216" spans="1:2" x14ac:dyDescent="0.25">
      <c r="A216" s="46">
        <v>45151</v>
      </c>
      <c r="B216" s="44">
        <v>26</v>
      </c>
    </row>
    <row r="217" spans="1:2" x14ac:dyDescent="0.25">
      <c r="A217" s="46">
        <v>45161</v>
      </c>
      <c r="B217" s="44">
        <v>25</v>
      </c>
    </row>
    <row r="218" spans="1:2" x14ac:dyDescent="0.25">
      <c r="A218" s="46">
        <v>45175</v>
      </c>
      <c r="B218" s="44">
        <v>122</v>
      </c>
    </row>
    <row r="219" spans="1:2" x14ac:dyDescent="0.25">
      <c r="A219" s="46">
        <v>45189</v>
      </c>
      <c r="B219" s="44">
        <v>111</v>
      </c>
    </row>
    <row r="220" spans="1:2" x14ac:dyDescent="0.25">
      <c r="A220" s="46">
        <v>45218</v>
      </c>
      <c r="B220" s="44">
        <v>1414</v>
      </c>
    </row>
    <row r="221" spans="1:2" x14ac:dyDescent="0.25">
      <c r="A221" s="46">
        <v>45231</v>
      </c>
      <c r="B221" s="44">
        <v>72</v>
      </c>
    </row>
    <row r="222" spans="1:2" x14ac:dyDescent="0.25">
      <c r="A222" s="46">
        <v>45245</v>
      </c>
      <c r="B222" s="44">
        <v>138</v>
      </c>
    </row>
    <row r="223" spans="1:2" x14ac:dyDescent="0.25">
      <c r="A223" s="46">
        <v>45259</v>
      </c>
      <c r="B223" s="45">
        <v>222</v>
      </c>
    </row>
    <row r="224" spans="1:2" x14ac:dyDescent="0.25">
      <c r="A224" s="46">
        <v>45329</v>
      </c>
      <c r="B224" s="45">
        <v>228</v>
      </c>
    </row>
    <row r="225" spans="1:2" x14ac:dyDescent="0.25">
      <c r="A225" s="46">
        <v>45343</v>
      </c>
      <c r="B225" s="45">
        <v>860</v>
      </c>
    </row>
    <row r="226" spans="1:2" x14ac:dyDescent="0.25">
      <c r="A226" s="46">
        <v>45511</v>
      </c>
      <c r="B226" s="45">
        <v>4352</v>
      </c>
    </row>
    <row r="227" spans="1:2" x14ac:dyDescent="0.25">
      <c r="B227" s="45"/>
    </row>
    <row r="228" spans="1:2" x14ac:dyDescent="0.25">
      <c r="A228" s="51"/>
      <c r="B228" s="45"/>
    </row>
    <row r="229" spans="1:2" x14ac:dyDescent="0.25">
      <c r="A229" s="51"/>
      <c r="B229" s="45"/>
    </row>
    <row r="230" spans="1:2" x14ac:dyDescent="0.25">
      <c r="A230" s="51"/>
      <c r="B230" s="45"/>
    </row>
    <row r="231" spans="1:2" x14ac:dyDescent="0.25">
      <c r="A231" s="51"/>
      <c r="B231" s="45"/>
    </row>
    <row r="232" spans="1:2" x14ac:dyDescent="0.25">
      <c r="A232" s="51"/>
      <c r="B232" s="45"/>
    </row>
    <row r="233" spans="1:2" x14ac:dyDescent="0.25">
      <c r="A233" s="51"/>
      <c r="B233" s="45"/>
    </row>
    <row r="234" spans="1:2" x14ac:dyDescent="0.25">
      <c r="A234" s="51"/>
      <c r="B234" s="45"/>
    </row>
    <row r="235" spans="1:2" x14ac:dyDescent="0.25">
      <c r="A235" s="51"/>
      <c r="B235" s="45"/>
    </row>
    <row r="236" spans="1:2" x14ac:dyDescent="0.25">
      <c r="A236" s="51"/>
      <c r="B236" s="45"/>
    </row>
    <row r="237" spans="1:2" x14ac:dyDescent="0.25">
      <c r="A237" s="51"/>
      <c r="B237" s="45"/>
    </row>
    <row r="238" spans="1:2" x14ac:dyDescent="0.25">
      <c r="A238" s="51"/>
      <c r="B238" s="45"/>
    </row>
    <row r="239" spans="1:2" x14ac:dyDescent="0.25">
      <c r="A239" s="51"/>
      <c r="B239" s="45"/>
    </row>
    <row r="240" spans="1:2" x14ac:dyDescent="0.25">
      <c r="A240" s="51"/>
      <c r="B240" s="45"/>
    </row>
    <row r="241" spans="1:2" x14ac:dyDescent="0.25">
      <c r="A241" s="51"/>
      <c r="B241" s="45"/>
    </row>
    <row r="242" spans="1:2" x14ac:dyDescent="0.25">
      <c r="A242" s="51"/>
      <c r="B242" s="45"/>
    </row>
    <row r="243" spans="1:2" x14ac:dyDescent="0.25">
      <c r="A243" s="51"/>
      <c r="B243" s="45"/>
    </row>
    <row r="244" spans="1:2" x14ac:dyDescent="0.25">
      <c r="A244" s="51"/>
      <c r="B244" s="45"/>
    </row>
  </sheetData>
  <sortState ref="A2:B226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5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155:B230 B131:B143 B87:B106 B2:B85 B119:B128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7"/>
  <sheetViews>
    <sheetView workbookViewId="0">
      <pane ySplit="1" topLeftCell="A89" activePane="bottomLeft" state="frozen"/>
      <selection pane="bottomLeft" activeCell="B98" sqref="B98"/>
    </sheetView>
  </sheetViews>
  <sheetFormatPr defaultRowHeight="15" x14ac:dyDescent="0.25"/>
  <cols>
    <col min="1" max="1" width="32.28515625" style="50" bestFit="1" customWidth="1"/>
    <col min="2" max="2" width="12" style="44" bestFit="1" customWidth="1"/>
  </cols>
  <sheetData>
    <row r="1" spans="1:2" s="1" customFormat="1" x14ac:dyDescent="0.25">
      <c r="A1" s="48" t="s">
        <v>0</v>
      </c>
      <c r="B1" s="49" t="s">
        <v>2</v>
      </c>
    </row>
    <row r="2" spans="1:2" s="1" customFormat="1" x14ac:dyDescent="0.25"/>
    <row r="3" spans="1:2" s="1" customFormat="1" x14ac:dyDescent="0.25"/>
    <row r="4" spans="1:2" s="1" customFormat="1" x14ac:dyDescent="0.25"/>
    <row r="5" spans="1:2" s="1" customFormat="1" x14ac:dyDescent="0.25"/>
    <row r="6" spans="1:2" s="1" customFormat="1" x14ac:dyDescent="0.25"/>
    <row r="7" spans="1:2" s="1" customFormat="1" x14ac:dyDescent="0.25"/>
    <row r="8" spans="1:2" s="1" customFormat="1" x14ac:dyDescent="0.25"/>
    <row r="9" spans="1:2" s="1" customFormat="1" x14ac:dyDescent="0.25"/>
    <row r="10" spans="1:2" s="1" customFormat="1" x14ac:dyDescent="0.25"/>
    <row r="11" spans="1:2" s="1" customFormat="1" x14ac:dyDescent="0.25"/>
    <row r="12" spans="1:2" s="1" customFormat="1" x14ac:dyDescent="0.25"/>
    <row r="13" spans="1:2" s="1" customFormat="1" x14ac:dyDescent="0.25"/>
    <row r="14" spans="1:2" s="1" customFormat="1" x14ac:dyDescent="0.25"/>
    <row r="15" spans="1:2" s="1" customFormat="1" x14ac:dyDescent="0.25"/>
    <row r="16" spans="1:2" s="1" customFormat="1" x14ac:dyDescent="0.25"/>
    <row r="17" spans="1:2" s="1" customFormat="1" x14ac:dyDescent="0.25"/>
    <row r="18" spans="1:2" s="1" customFormat="1" x14ac:dyDescent="0.25"/>
    <row r="19" spans="1:2" s="1" customFormat="1" x14ac:dyDescent="0.25"/>
    <row r="20" spans="1:2" s="1" customFormat="1" x14ac:dyDescent="0.25"/>
    <row r="21" spans="1:2" s="1" customFormat="1" x14ac:dyDescent="0.25"/>
    <row r="22" spans="1:2" s="1" customFormat="1" x14ac:dyDescent="0.25"/>
    <row r="23" spans="1:2" s="1" customFormat="1" x14ac:dyDescent="0.25"/>
    <row r="24" spans="1:2" s="1" customFormat="1" x14ac:dyDescent="0.25"/>
    <row r="25" spans="1:2" s="1" customFormat="1" x14ac:dyDescent="0.25"/>
    <row r="26" spans="1:2" x14ac:dyDescent="0.25">
      <c r="A26"/>
      <c r="B26"/>
    </row>
    <row r="27" spans="1:2" x14ac:dyDescent="0.25">
      <c r="A27"/>
      <c r="B27"/>
    </row>
    <row r="28" spans="1:2" x14ac:dyDescent="0.25">
      <c r="A28"/>
      <c r="B28"/>
    </row>
    <row r="29" spans="1:2" x14ac:dyDescent="0.25">
      <c r="A29"/>
      <c r="B29"/>
    </row>
    <row r="30" spans="1:2" x14ac:dyDescent="0.25">
      <c r="A30"/>
      <c r="B30"/>
    </row>
    <row r="31" spans="1:2" x14ac:dyDescent="0.25">
      <c r="A31"/>
      <c r="B31"/>
    </row>
    <row r="32" spans="1:2" x14ac:dyDescent="0.25">
      <c r="A32"/>
      <c r="B32"/>
    </row>
    <row r="33" spans="1:2" x14ac:dyDescent="0.25">
      <c r="A33"/>
      <c r="B33"/>
    </row>
    <row r="34" spans="1:2" x14ac:dyDescent="0.25">
      <c r="A34"/>
      <c r="B34"/>
    </row>
    <row r="35" spans="1:2" x14ac:dyDescent="0.25">
      <c r="A35"/>
      <c r="B35"/>
    </row>
    <row r="36" spans="1:2" x14ac:dyDescent="0.25">
      <c r="A36"/>
      <c r="B36"/>
    </row>
    <row r="37" spans="1:2" x14ac:dyDescent="0.25">
      <c r="A37"/>
      <c r="B37"/>
    </row>
    <row r="38" spans="1:2" x14ac:dyDescent="0.25">
      <c r="A38"/>
      <c r="B38"/>
    </row>
    <row r="39" spans="1:2" x14ac:dyDescent="0.25">
      <c r="A39"/>
      <c r="B39"/>
    </row>
    <row r="40" spans="1:2" x14ac:dyDescent="0.25">
      <c r="A40"/>
      <c r="B40"/>
    </row>
    <row r="41" spans="1:2" x14ac:dyDescent="0.25">
      <c r="A41"/>
      <c r="B41"/>
    </row>
    <row r="42" spans="1:2" x14ac:dyDescent="0.25">
      <c r="A42"/>
      <c r="B42"/>
    </row>
    <row r="43" spans="1:2" x14ac:dyDescent="0.25">
      <c r="A43"/>
      <c r="B43"/>
    </row>
    <row r="44" spans="1:2" x14ac:dyDescent="0.25">
      <c r="A44"/>
      <c r="B44"/>
    </row>
    <row r="45" spans="1:2" x14ac:dyDescent="0.25">
      <c r="A45"/>
      <c r="B45"/>
    </row>
    <row r="46" spans="1:2" x14ac:dyDescent="0.25">
      <c r="A46"/>
      <c r="B46"/>
    </row>
    <row r="47" spans="1:2" x14ac:dyDescent="0.25">
      <c r="A47"/>
      <c r="B47"/>
    </row>
    <row r="48" spans="1:2" x14ac:dyDescent="0.25">
      <c r="A48"/>
      <c r="B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 s="46">
        <v>45616</v>
      </c>
      <c r="B89" s="44">
        <v>10</v>
      </c>
    </row>
    <row r="90" spans="1:2" x14ac:dyDescent="0.25">
      <c r="A90" s="46">
        <v>45630</v>
      </c>
      <c r="B90" s="44">
        <v>12</v>
      </c>
    </row>
    <row r="91" spans="1:2" x14ac:dyDescent="0.25">
      <c r="A91" s="46">
        <v>45646</v>
      </c>
      <c r="B91" s="44">
        <v>82</v>
      </c>
    </row>
    <row r="92" spans="1:2" x14ac:dyDescent="0.25">
      <c r="A92" s="46">
        <v>45659</v>
      </c>
      <c r="B92" s="44">
        <v>45</v>
      </c>
    </row>
    <row r="93" spans="1:2" x14ac:dyDescent="0.25">
      <c r="A93" s="46">
        <v>45672</v>
      </c>
      <c r="B93" s="44">
        <v>96</v>
      </c>
    </row>
    <row r="94" spans="1:2" x14ac:dyDescent="0.25">
      <c r="A94" s="46">
        <v>45686</v>
      </c>
      <c r="B94" s="44">
        <v>43</v>
      </c>
    </row>
    <row r="95" spans="1:2" x14ac:dyDescent="0.25">
      <c r="A95" s="46">
        <v>45700</v>
      </c>
      <c r="B95" s="44">
        <v>11</v>
      </c>
    </row>
    <row r="96" spans="1:2" x14ac:dyDescent="0.25">
      <c r="A96" s="46">
        <v>45714</v>
      </c>
      <c r="B96" s="44">
        <v>49</v>
      </c>
    </row>
    <row r="97" spans="1:2" x14ac:dyDescent="0.25">
      <c r="A97" s="46">
        <v>45728</v>
      </c>
      <c r="B97" s="44">
        <v>11</v>
      </c>
    </row>
    <row r="98" spans="1:2" x14ac:dyDescent="0.25">
      <c r="A98" s="46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 s="46"/>
    </row>
    <row r="209" spans="1:1" x14ac:dyDescent="0.25">
      <c r="A209" s="46"/>
    </row>
    <row r="210" spans="1:1" x14ac:dyDescent="0.25">
      <c r="A210" s="46"/>
    </row>
    <row r="211" spans="1:1" x14ac:dyDescent="0.25">
      <c r="A211" s="46"/>
    </row>
    <row r="212" spans="1:1" x14ac:dyDescent="0.25">
      <c r="A212" s="46"/>
    </row>
    <row r="213" spans="1:1" x14ac:dyDescent="0.25">
      <c r="A213" s="46"/>
    </row>
    <row r="214" spans="1:1" x14ac:dyDescent="0.25">
      <c r="A214" s="46"/>
    </row>
    <row r="215" spans="1:1" x14ac:dyDescent="0.25">
      <c r="A215" s="46"/>
    </row>
    <row r="216" spans="1:1" x14ac:dyDescent="0.25">
      <c r="A216" s="46"/>
    </row>
    <row r="217" spans="1:1" x14ac:dyDescent="0.25">
      <c r="A217" s="46"/>
    </row>
  </sheetData>
  <sortState ref="A1:B1">
    <sortCondition ref="A1"/>
  </sortState>
  <conditionalFormatting sqref="B89:B97 A89:A95">
    <cfRule type="cellIs" dxfId="6" priority="7" operator="between">
      <formula>100</formula>
      <formula>240</formula>
    </cfRule>
  </conditionalFormatting>
  <conditionalFormatting sqref="B89:B95">
    <cfRule type="cellIs" dxfId="5" priority="4" operator="greaterThan">
      <formula>240</formula>
    </cfRule>
  </conditionalFormatting>
  <conditionalFormatting sqref="B89:B95">
    <cfRule type="cellIs" dxfId="4" priority="6" operator="greaterThan">
      <formula>240</formula>
    </cfRule>
  </conditionalFormatting>
  <conditionalFormatting sqref="B89:B95">
    <cfRule type="expression" dxfId="3" priority="5">
      <formula>ISBLANK(B89)</formula>
    </cfRule>
  </conditionalFormatting>
  <conditionalFormatting sqref="B96:B97">
    <cfRule type="cellIs" dxfId="2" priority="3" operator="greaterThan">
      <formula>240</formula>
    </cfRule>
  </conditionalFormatting>
  <conditionalFormatting sqref="B96:B97">
    <cfRule type="expression" dxfId="1" priority="2">
      <formula>ISBLANK(B96)</formula>
    </cfRule>
  </conditionalFormatting>
  <conditionalFormatting sqref="B96:B97">
    <cfRule type="cellIs" dxfId="0" priority="1" operator="greaterThan">
      <formula>240</formula>
    </cfRule>
  </conditionalFormatting>
  <dataValidations count="1">
    <dataValidation type="decimal" operator="greaterThan" showErrorMessage="1" errorTitle="Measurement Value" error="Only enter values larger than 0. If measurement value equals 0, substitute with 0.333333333." sqref="B1 B208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69E88C7-2657-4ED9-AD82-522500436124}">
  <ds:schemaRefs>
    <ds:schemaRef ds:uri="http://schemas.microsoft.com/office/2006/documentManagement/types"/>
    <ds:schemaRef ds:uri="http://purl.org/dc/elements/1.1/"/>
    <ds:schemaRef ds:uri="http://purl.org/dc/terms/"/>
    <ds:schemaRef ds:uri="d602efd0-98a8-4264-882b-5af550c3ef7a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E7C7B80F-5714-4578-B4F1-A1A496FD3F1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43B1F2F-12AC-447F-AC3B-7AB46B66601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GWESSELS</dc:creator>
  <cp:lastModifiedBy>Dikeledi Prudence Mothiba</cp:lastModifiedBy>
  <dcterms:created xsi:type="dcterms:W3CDTF">2020-07-02T09:36:36Z</dcterms:created>
  <dcterms:modified xsi:type="dcterms:W3CDTF">2025-03-25T11:14:42Z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