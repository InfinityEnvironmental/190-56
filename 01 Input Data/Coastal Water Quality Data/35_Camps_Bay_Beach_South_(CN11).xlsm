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coli'!$A$1:$B$285</definedName>
    <definedName name="_xlnm._FilterDatabase" localSheetId="2" hidden="1">'Faecal streptococci'!$A$1:$B$431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8" i="3" l="1"/>
  <c r="B416" i="3"/>
  <c r="B414" i="3"/>
  <c r="B411" i="3" l="1"/>
  <c r="B385" i="3"/>
  <c r="B381" i="3"/>
  <c r="B379" i="3"/>
  <c r="B378" i="3"/>
  <c r="B377" i="3"/>
  <c r="B374" i="3"/>
  <c r="B402" i="3" l="1"/>
  <c r="B400" i="3" l="1"/>
  <c r="B401" i="3" l="1"/>
  <c r="B399" i="3" l="1"/>
  <c r="B398" i="3" l="1"/>
  <c r="B393" i="3" l="1"/>
  <c r="B392" i="3" l="1"/>
  <c r="B284" i="2"/>
  <c r="B278" i="2" l="1"/>
  <c r="B387" i="3" l="1"/>
  <c r="B372" i="3" l="1"/>
  <c r="B373" i="3" l="1"/>
  <c r="B268" i="2" l="1"/>
  <c r="B246" i="2" l="1"/>
  <c r="B243" i="2" l="1"/>
  <c r="B234" i="2" l="1"/>
  <c r="B348" i="3" l="1"/>
  <c r="B192" i="2" l="1"/>
  <c r="B341" i="3" l="1"/>
  <c r="B333" i="3"/>
  <c r="B330" i="3"/>
  <c r="B283" i="3"/>
  <c r="B272" i="3"/>
  <c r="B223" i="2" l="1"/>
  <c r="B222" i="2" l="1"/>
  <c r="B221" i="2" l="1"/>
  <c r="B216" i="2" l="1"/>
  <c r="B208" i="2" l="1"/>
  <c r="B195" i="2" l="1"/>
  <c r="B189" i="2" l="1"/>
  <c r="B187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<sst xmlns="http://schemas.openxmlformats.org/spreadsheetml/2006/main" count="77" uniqueCount="44">
  <si>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</si>
  <si>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</si>
  <si>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</si>
  <si>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</si>
  <si>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</si>
  <si>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</si>
  <si>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</si>
  <si>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</si>
  <si>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</si>
  <si>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</si>
  <si>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</si>
  <si>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</si>
  <si>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</si>
  <si>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</si>
  <si>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</si>
  <si>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</si>
  <si>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</si>
  <si>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</si>
  <si>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</si>
  <si>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</si>
  <si>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Clifton and Camps Bay</t>
  </si>
  <si>
    <t>102/-</t>
  </si>
  <si>
    <t>162/-</t>
  </si>
  <si>
    <t>86/-</t>
  </si>
  <si>
    <t>Camps Bay Beach</t>
  </si>
  <si>
    <t>1576/103</t>
  </si>
  <si>
    <t>156/-</t>
  </si>
  <si>
    <t>150/-</t>
  </si>
  <si>
    <t>103/-</t>
  </si>
  <si>
    <t>43/-</t>
  </si>
  <si>
    <t>555/124</t>
  </si>
  <si>
    <t>44/-</t>
  </si>
  <si>
    <t>68/-</t>
  </si>
  <si>
    <t>101/-</t>
  </si>
  <si>
    <t>254/180</t>
  </si>
  <si>
    <t>Poor</t>
  </si>
  <si>
    <t>566/370</t>
  </si>
  <si>
    <t>146/-</t>
  </si>
  <si>
    <t>Not Enough Data</t>
  </si>
  <si>
    <t>403/189</t>
  </si>
  <si>
    <t>1938/766</t>
  </si>
  <si>
    <t>96/-</t>
  </si>
  <si>
    <t>95/-</t>
  </si>
  <si>
    <t>122/-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</si>
</sst>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6" fillId="0" borderId="0"/>
    <xf numFmtId="0" fontId="6" fillId="0" borderId="0"/>
    <xf numFmtId="0" fontId="9" fillId="5" borderId="7" applyProtection="0">
      <alignment horizontal="center" vertical="center" wrapText="1"/>
    </xf>
    <xf numFmtId="0" fontId="9" fillId="6" borderId="7">
      <alignment horizontal="center" vertical="center" wrapText="1"/>
    </xf>
  </cellStyleXfs>
  <cellXfs count="6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6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0" fontId="0" fillId="0" borderId="0" xfId="0" applyFill="1"/>
    <xf numFmtId="164" fontId="0" fillId="0" borderId="0" xfId="0" applyNumberFormat="1" applyFont="1" applyFill="1" applyAlignment="1">
      <alignment horizontal="left"/>
    </xf>
    <xf numFmtId="1" fontId="6" fillId="0" borderId="0" xfId="2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>
      <alignment horizontal="center"/>
    </xf>
    <xf numFmtId="1" fontId="7" fillId="0" borderId="0" xfId="3" applyNumberFormat="1" applyFont="1" applyFill="1" applyBorder="1" applyAlignment="1">
      <alignment horizontal="center"/>
    </xf>
    <xf numFmtId="0" fontId="6" fillId="0" borderId="0" xfId="3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0" fontId="8" fillId="0" borderId="0" xfId="0" applyFont="1" applyFill="1"/>
    <xf numFmtId="0" fontId="0" fillId="0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6">
    <cellStyle name="Input" xfId="1" builtinId="20"/>
    <cellStyle name="Mid blue cell" xfId="5"/>
    <cellStyle name="Normal" xfId="0" builtinId="0"/>
    <cellStyle name="Normal 2" xfId="2"/>
    <cellStyle name="Normal 3" xfId="3"/>
    <cellStyle name="Normal blue cell" xfId="4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J13" sqref="J13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5" t="s">
        <v>24</v>
      </c>
      <c r="D3" s="65"/>
      <c r="E3" s="6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5"/>
      <c r="D4" s="65"/>
      <c r="E4" s="6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6" t="s">
        <v>20</v>
      </c>
      <c r="E6" s="6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6"/>
      <c r="E7" s="6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6"/>
      <c r="E8" s="6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6">
        <v>12</v>
      </c>
      <c r="E9" s="6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63">
        <f ca="1">TODAY()</f>
        <v>45740</v>
      </c>
      <c r="E11" s="63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63">
        <f>MAX(MAX('Escherichia coli'!A:A),MAX('Faecal streptococci'!A:A))</f>
        <v>45734</v>
      </c>
      <c r="E12" s="63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64">
        <f ca="1">YEAR(D11)+(MONTH(D11)&gt;=D9)</f>
        <v>2025</v>
      </c>
      <c r="E13" s="64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63" t="str">
        <f ca="1">CONCATENATE(TEXT(DATE(D13-1,D9,1), "yyyy/mm/dd")," - ",TEXT(D11,"yyyy/mm/dd"))</f>
        <v>2024/12/01 - 2025/03/24</v>
      </c>
      <c r="E14" s="63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63" t="str">
        <f ca="1">CONCATENATE(TEXT(DATE(D13-5,D9,1), "yyyy/mm/dd")," - ",TEXT(D11,"yyyy/mm/dd"))</f>
        <v>2020/12/01 - 2025/03/24</v>
      </c>
      <c r="E15" s="63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38</v>
      </c>
      <c r="E18" s="26"/>
      <c r="F18" s="22" t="s">
        <v>17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35</v>
      </c>
      <c r="E19" s="39" t="s">
        <v>39</v>
      </c>
      <c r="F19" s="22" t="s">
        <v>19</v>
      </c>
      <c r="G19" s="39" t="s">
        <v>21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38</v>
      </c>
      <c r="E20" s="39"/>
      <c r="F20" s="22" t="s">
        <v>19</v>
      </c>
      <c r="G20" s="39" t="s">
        <v>28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37</v>
      </c>
      <c r="F21" s="22" t="s">
        <v>19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5">
        <v>2025</v>
      </c>
      <c r="D22" s="7" t="s">
        <v>38</v>
      </c>
      <c r="E22" s="39"/>
      <c r="F22" s="22" t="s">
        <v>17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19</v>
      </c>
      <c r="E23" s="39" t="s">
        <v>37</v>
      </c>
      <c r="F23" s="22" t="s">
        <v>17</v>
      </c>
      <c r="G23" s="39" t="s">
        <v>41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35</v>
      </c>
      <c r="E24" s="39" t="s">
        <v>36</v>
      </c>
      <c r="F24" s="22" t="s">
        <v>35</v>
      </c>
      <c r="G24" s="39" t="s">
        <v>40</v>
      </c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34</v>
      </c>
      <c r="F25" s="22" t="s">
        <v>19</v>
      </c>
      <c r="G25" s="39" t="s">
        <v>33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30</v>
      </c>
      <c r="F26" s="23" t="s">
        <v>17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29</v>
      </c>
      <c r="F27" s="24" t="s">
        <v>17</v>
      </c>
      <c r="G27" s="19" t="s">
        <v>32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25</v>
      </c>
      <c r="F28" s="24" t="s">
        <v>18</v>
      </c>
      <c r="G28" s="19">
        <v>4.0561797752808992</v>
      </c>
      <c r="H28" s="19"/>
      <c r="I28" s="27"/>
      <c r="J28" s="4"/>
    </row>
    <row r="29" spans="1:13" s="3" customFormat="1" x14ac:dyDescent="0.25">
      <c r="A29" s="7"/>
      <c r="B29" s="7"/>
      <c r="C29" s="15">
        <v>2018</v>
      </c>
      <c r="D29" s="22" t="s">
        <v>19</v>
      </c>
      <c r="E29" s="7" t="s">
        <v>21</v>
      </c>
      <c r="F29" s="24" t="s">
        <v>18</v>
      </c>
      <c r="G29" s="19">
        <v>4.666666666666667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17</v>
      </c>
      <c r="E30" s="7" t="s">
        <v>23</v>
      </c>
      <c r="F30" s="24" t="s">
        <v>18</v>
      </c>
      <c r="G30" s="19">
        <v>4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19</v>
      </c>
      <c r="E31" s="7" t="s">
        <v>26</v>
      </c>
      <c r="F31" s="24" t="s">
        <v>18</v>
      </c>
      <c r="G31" s="19">
        <v>6.1090909090909093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19</v>
      </c>
      <c r="E32" s="7" t="s">
        <v>22</v>
      </c>
      <c r="F32" s="24" t="s">
        <v>18</v>
      </c>
      <c r="G32" s="19">
        <v>13.23943661971831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27</v>
      </c>
      <c r="F33" s="24" t="s">
        <v>19</v>
      </c>
      <c r="G33" s="19" t="s">
        <v>28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5"/>
  <sheetViews>
    <sheetView workbookViewId="0">
      <pane ySplit="1" topLeftCell="A264" activePane="bottomLeft" state="frozen"/>
      <selection pane="bottomLeft" activeCell="A289" sqref="A289"/>
    </sheetView>
  </sheetViews>
  <sheetFormatPr defaultRowHeight="15" x14ac:dyDescent="0.25"/>
  <cols>
    <col min="1" max="1" width="37.5703125" style="46" customWidth="1"/>
    <col min="2" max="2" width="12" style="47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0" t="s">
        <v>0</v>
      </c>
      <c r="B1" s="41" t="s">
        <v>1</v>
      </c>
    </row>
    <row r="2" spans="1:7" x14ac:dyDescent="0.25">
      <c r="A2" s="48">
        <v>41641.361805555556</v>
      </c>
      <c r="B2" s="49">
        <v>0.66666666699999999</v>
      </c>
      <c r="E2" s="42"/>
      <c r="F2" s="43"/>
      <c r="G2" s="44"/>
    </row>
    <row r="3" spans="1:7" x14ac:dyDescent="0.25">
      <c r="A3" s="48">
        <v>41654.416666666664</v>
      </c>
      <c r="B3" s="49">
        <v>8</v>
      </c>
      <c r="E3" s="42"/>
      <c r="F3" s="43"/>
      <c r="G3" s="44"/>
    </row>
    <row r="4" spans="1:7" x14ac:dyDescent="0.25">
      <c r="A4" s="48">
        <v>41668.405555555553</v>
      </c>
      <c r="B4" s="49">
        <v>6</v>
      </c>
      <c r="E4" s="42"/>
      <c r="F4" s="43"/>
      <c r="G4" s="44"/>
    </row>
    <row r="5" spans="1:7" x14ac:dyDescent="0.25">
      <c r="A5" s="48">
        <v>41682.401388888888</v>
      </c>
      <c r="B5" s="49">
        <v>50</v>
      </c>
      <c r="E5" s="42"/>
      <c r="F5" s="43"/>
      <c r="G5" s="44"/>
    </row>
    <row r="6" spans="1:7" x14ac:dyDescent="0.25">
      <c r="A6" s="48">
        <v>41696.405555555553</v>
      </c>
      <c r="B6" s="49">
        <v>4</v>
      </c>
      <c r="E6" s="42"/>
      <c r="F6" s="43"/>
      <c r="G6" s="44"/>
    </row>
    <row r="7" spans="1:7" x14ac:dyDescent="0.25">
      <c r="A7" s="48">
        <v>41710.390277777777</v>
      </c>
      <c r="B7" s="49">
        <v>12</v>
      </c>
      <c r="E7" s="42"/>
      <c r="F7" s="43"/>
      <c r="G7" s="44"/>
    </row>
    <row r="8" spans="1:7" x14ac:dyDescent="0.25">
      <c r="A8" s="48">
        <v>41724.450694444444</v>
      </c>
      <c r="B8" s="49">
        <v>150</v>
      </c>
      <c r="E8" s="42"/>
      <c r="F8" s="43"/>
      <c r="G8" s="44"/>
    </row>
    <row r="9" spans="1:7" x14ac:dyDescent="0.25">
      <c r="A9" s="48">
        <v>41738.395138888889</v>
      </c>
      <c r="B9" s="49">
        <v>150</v>
      </c>
      <c r="E9" s="42"/>
      <c r="F9" s="43"/>
      <c r="G9" s="44"/>
    </row>
    <row r="10" spans="1:7" x14ac:dyDescent="0.25">
      <c r="A10" s="48">
        <v>41752.417361111111</v>
      </c>
      <c r="B10" s="49">
        <v>0.66666666699999999</v>
      </c>
      <c r="E10" s="42"/>
      <c r="F10" s="43"/>
      <c r="G10" s="44"/>
    </row>
    <row r="11" spans="1:7" x14ac:dyDescent="0.25">
      <c r="A11" s="48">
        <v>41767.401388888888</v>
      </c>
      <c r="B11" s="49">
        <v>24</v>
      </c>
      <c r="E11" s="42"/>
      <c r="F11" s="43"/>
      <c r="G11" s="44"/>
    </row>
    <row r="12" spans="1:7" x14ac:dyDescent="0.25">
      <c r="A12" s="48">
        <v>41780.423611111109</v>
      </c>
      <c r="B12" s="49">
        <v>18</v>
      </c>
      <c r="E12" s="42"/>
      <c r="F12" s="43"/>
      <c r="G12" s="44"/>
    </row>
    <row r="13" spans="1:7" x14ac:dyDescent="0.25">
      <c r="A13" s="48">
        <v>41794.399305555555</v>
      </c>
      <c r="B13" s="49">
        <v>100</v>
      </c>
      <c r="E13" s="42"/>
      <c r="F13" s="43"/>
      <c r="G13" s="44"/>
    </row>
    <row r="14" spans="1:7" x14ac:dyDescent="0.25">
      <c r="A14" s="48">
        <v>41808.421527777777</v>
      </c>
      <c r="B14" s="49">
        <v>22</v>
      </c>
      <c r="E14" s="42"/>
      <c r="F14" s="43"/>
      <c r="G14" s="44"/>
    </row>
    <row r="15" spans="1:7" x14ac:dyDescent="0.25">
      <c r="A15" s="48">
        <v>41822.386111111111</v>
      </c>
      <c r="B15" s="49">
        <v>14</v>
      </c>
      <c r="E15" s="42"/>
      <c r="F15" s="43"/>
      <c r="G15" s="44"/>
    </row>
    <row r="16" spans="1:7" x14ac:dyDescent="0.25">
      <c r="A16" s="48">
        <v>41836.424305555556</v>
      </c>
      <c r="B16" s="49">
        <v>12</v>
      </c>
      <c r="E16" s="42"/>
      <c r="F16" s="43"/>
      <c r="G16" s="44"/>
    </row>
    <row r="17" spans="1:7" x14ac:dyDescent="0.25">
      <c r="A17" s="48">
        <v>41850.405555555553</v>
      </c>
      <c r="B17" s="49">
        <v>16</v>
      </c>
      <c r="E17" s="42"/>
      <c r="F17" s="43"/>
      <c r="G17" s="44"/>
    </row>
    <row r="18" spans="1:7" x14ac:dyDescent="0.25">
      <c r="A18" s="48">
        <v>41864.384722222225</v>
      </c>
      <c r="B18" s="49">
        <v>14</v>
      </c>
      <c r="E18" s="42"/>
      <c r="F18" s="43"/>
      <c r="G18" s="44"/>
    </row>
    <row r="19" spans="1:7" x14ac:dyDescent="0.25">
      <c r="A19" s="48">
        <v>41878.399305555555</v>
      </c>
      <c r="B19" s="49">
        <v>32</v>
      </c>
      <c r="E19" s="42"/>
      <c r="F19" s="43"/>
      <c r="G19" s="44"/>
    </row>
    <row r="20" spans="1:7" x14ac:dyDescent="0.25">
      <c r="A20" s="48">
        <v>41892.363194444442</v>
      </c>
      <c r="B20" s="49">
        <v>28</v>
      </c>
      <c r="E20" s="42"/>
      <c r="F20" s="43"/>
      <c r="G20" s="44"/>
    </row>
    <row r="21" spans="1:7" x14ac:dyDescent="0.25">
      <c r="A21" s="48">
        <v>41907.398611111108</v>
      </c>
      <c r="B21" s="49">
        <v>10</v>
      </c>
      <c r="E21" s="42"/>
      <c r="F21" s="43"/>
      <c r="G21" s="44"/>
    </row>
    <row r="22" spans="1:7" x14ac:dyDescent="0.25">
      <c r="A22" s="48">
        <v>41920.393055555556</v>
      </c>
      <c r="B22" s="49">
        <v>4</v>
      </c>
      <c r="E22" s="42"/>
      <c r="F22" s="43"/>
      <c r="G22" s="44"/>
    </row>
    <row r="23" spans="1:7" x14ac:dyDescent="0.25">
      <c r="A23" s="48">
        <v>41934.393750000003</v>
      </c>
      <c r="B23" s="49">
        <v>22</v>
      </c>
      <c r="E23" s="42"/>
      <c r="F23" s="43"/>
      <c r="G23" s="44"/>
    </row>
    <row r="24" spans="1:7" x14ac:dyDescent="0.25">
      <c r="A24" s="48">
        <v>41948.39166666667</v>
      </c>
      <c r="B24" s="49">
        <v>100</v>
      </c>
      <c r="E24" s="42"/>
      <c r="F24" s="43"/>
      <c r="G24" s="44"/>
    </row>
    <row r="25" spans="1:7" x14ac:dyDescent="0.25">
      <c r="A25" s="48">
        <v>41962.454861111109</v>
      </c>
      <c r="B25" s="49">
        <v>56</v>
      </c>
      <c r="E25" s="42"/>
      <c r="F25" s="43"/>
      <c r="G25" s="44"/>
    </row>
    <row r="26" spans="1:7" x14ac:dyDescent="0.25">
      <c r="A26" s="48">
        <v>41976.397916666669</v>
      </c>
      <c r="B26" s="49">
        <v>4</v>
      </c>
      <c r="E26" s="42"/>
      <c r="F26" s="43"/>
      <c r="G26" s="44"/>
    </row>
    <row r="27" spans="1:7" x14ac:dyDescent="0.25">
      <c r="A27" s="48">
        <v>41990.40902777778</v>
      </c>
      <c r="B27" s="49">
        <v>90</v>
      </c>
      <c r="E27" s="42"/>
      <c r="F27" s="43"/>
      <c r="G27" s="44"/>
    </row>
    <row r="28" spans="1:7" x14ac:dyDescent="0.25">
      <c r="A28" s="48">
        <v>42003.400694444441</v>
      </c>
      <c r="B28" s="49">
        <v>0.66666666699999999</v>
      </c>
      <c r="E28" s="42"/>
      <c r="F28" s="43"/>
      <c r="G28" s="44"/>
    </row>
    <row r="29" spans="1:7" x14ac:dyDescent="0.25">
      <c r="A29" s="48">
        <v>42018.379166666666</v>
      </c>
      <c r="B29" s="49">
        <v>8</v>
      </c>
      <c r="E29" s="42"/>
      <c r="F29" s="43"/>
      <c r="G29" s="44"/>
    </row>
    <row r="30" spans="1:7" x14ac:dyDescent="0.25">
      <c r="A30" s="48">
        <v>42032.438194444447</v>
      </c>
      <c r="B30" s="49">
        <v>58</v>
      </c>
      <c r="E30" s="42"/>
      <c r="F30" s="43"/>
      <c r="G30" s="44"/>
    </row>
    <row r="31" spans="1:7" x14ac:dyDescent="0.25">
      <c r="A31" s="48">
        <v>42046.388194444444</v>
      </c>
      <c r="B31" s="49">
        <v>8</v>
      </c>
      <c r="E31" s="42"/>
      <c r="F31" s="43"/>
      <c r="G31" s="44"/>
    </row>
    <row r="32" spans="1:7" x14ac:dyDescent="0.25">
      <c r="A32" s="48">
        <v>42060</v>
      </c>
      <c r="B32" s="49">
        <v>4</v>
      </c>
      <c r="E32" s="42"/>
      <c r="F32" s="43"/>
      <c r="G32" s="44"/>
    </row>
    <row r="33" spans="1:7" x14ac:dyDescent="0.25">
      <c r="A33" s="48">
        <v>42074.410416666666</v>
      </c>
      <c r="B33" s="49">
        <v>8</v>
      </c>
      <c r="E33" s="42"/>
      <c r="F33" s="43"/>
      <c r="G33" s="44"/>
    </row>
    <row r="34" spans="1:7" x14ac:dyDescent="0.25">
      <c r="A34" s="48">
        <v>42088</v>
      </c>
      <c r="B34" s="49">
        <v>2</v>
      </c>
      <c r="E34" s="42"/>
      <c r="F34" s="43"/>
      <c r="G34" s="44"/>
    </row>
    <row r="35" spans="1:7" x14ac:dyDescent="0.25">
      <c r="A35" s="48">
        <v>42102</v>
      </c>
      <c r="B35" s="49">
        <v>4</v>
      </c>
      <c r="E35" s="42"/>
      <c r="F35" s="43"/>
      <c r="G35" s="44"/>
    </row>
    <row r="36" spans="1:7" x14ac:dyDescent="0.25">
      <c r="A36" s="48">
        <v>42116</v>
      </c>
      <c r="B36" s="49">
        <v>10</v>
      </c>
      <c r="E36" s="42"/>
      <c r="F36" s="43"/>
      <c r="G36" s="44"/>
    </row>
    <row r="37" spans="1:7" x14ac:dyDescent="0.25">
      <c r="A37" s="48">
        <v>42130</v>
      </c>
      <c r="B37" s="49">
        <v>6</v>
      </c>
      <c r="E37" s="42"/>
      <c r="F37" s="43"/>
      <c r="G37" s="44"/>
    </row>
    <row r="38" spans="1:7" x14ac:dyDescent="0.25">
      <c r="A38" s="48">
        <v>42144</v>
      </c>
      <c r="B38" s="49">
        <v>10</v>
      </c>
      <c r="E38" s="42"/>
      <c r="F38" s="43"/>
      <c r="G38" s="44"/>
    </row>
    <row r="39" spans="1:7" x14ac:dyDescent="0.25">
      <c r="A39" s="48">
        <v>42158</v>
      </c>
      <c r="B39" s="49">
        <v>54</v>
      </c>
      <c r="E39" s="42"/>
      <c r="F39" s="43"/>
      <c r="G39" s="44"/>
    </row>
    <row r="40" spans="1:7" x14ac:dyDescent="0.25">
      <c r="A40" s="48">
        <v>42172</v>
      </c>
      <c r="B40" s="49">
        <v>10</v>
      </c>
      <c r="E40" s="42"/>
      <c r="F40" s="43"/>
      <c r="G40" s="44"/>
    </row>
    <row r="41" spans="1:7" x14ac:dyDescent="0.25">
      <c r="A41" s="48">
        <v>42186</v>
      </c>
      <c r="B41" s="49">
        <v>14</v>
      </c>
      <c r="E41" s="42"/>
      <c r="F41" s="43"/>
      <c r="G41" s="44"/>
    </row>
    <row r="42" spans="1:7" x14ac:dyDescent="0.25">
      <c r="A42" s="48">
        <v>42200</v>
      </c>
      <c r="B42" s="49">
        <v>4</v>
      </c>
      <c r="E42" s="42"/>
      <c r="F42" s="43"/>
      <c r="G42" s="44"/>
    </row>
    <row r="43" spans="1:7" x14ac:dyDescent="0.25">
      <c r="A43" s="48">
        <v>42214</v>
      </c>
      <c r="B43" s="49">
        <v>2</v>
      </c>
      <c r="E43" s="42"/>
      <c r="F43" s="43"/>
      <c r="G43" s="44"/>
    </row>
    <row r="44" spans="1:7" x14ac:dyDescent="0.25">
      <c r="A44" s="48">
        <v>42228</v>
      </c>
      <c r="B44" s="49">
        <v>6</v>
      </c>
      <c r="E44" s="42"/>
      <c r="F44" s="43"/>
      <c r="G44" s="44"/>
    </row>
    <row r="45" spans="1:7" x14ac:dyDescent="0.25">
      <c r="A45" s="48">
        <v>42242</v>
      </c>
      <c r="B45" s="49">
        <v>24</v>
      </c>
      <c r="E45" s="42"/>
      <c r="F45" s="43"/>
      <c r="G45" s="44"/>
    </row>
    <row r="46" spans="1:7" x14ac:dyDescent="0.25">
      <c r="A46" s="48">
        <v>42256</v>
      </c>
      <c r="B46" s="49">
        <v>450</v>
      </c>
      <c r="E46" s="42"/>
      <c r="F46" s="43"/>
      <c r="G46" s="44"/>
    </row>
    <row r="47" spans="1:7" x14ac:dyDescent="0.25">
      <c r="A47" s="48">
        <v>42270</v>
      </c>
      <c r="B47" s="49">
        <v>6</v>
      </c>
      <c r="E47" s="42"/>
      <c r="F47" s="43"/>
      <c r="G47" s="44"/>
    </row>
    <row r="48" spans="1:7" x14ac:dyDescent="0.25">
      <c r="A48" s="48">
        <v>42284</v>
      </c>
      <c r="B48" s="49">
        <v>28</v>
      </c>
      <c r="E48" s="42"/>
      <c r="F48" s="43"/>
      <c r="G48" s="44"/>
    </row>
    <row r="49" spans="1:7" x14ac:dyDescent="0.25">
      <c r="A49" s="48">
        <v>42298</v>
      </c>
      <c r="B49" s="49">
        <v>30</v>
      </c>
      <c r="E49" s="42"/>
      <c r="F49" s="43"/>
      <c r="G49" s="44"/>
    </row>
    <row r="50" spans="1:7" x14ac:dyDescent="0.25">
      <c r="A50" s="48">
        <v>42312</v>
      </c>
      <c r="B50" s="49">
        <v>2</v>
      </c>
      <c r="E50" s="42"/>
      <c r="F50" s="43"/>
      <c r="G50" s="44"/>
    </row>
    <row r="51" spans="1:7" x14ac:dyDescent="0.25">
      <c r="A51" s="48">
        <v>42326</v>
      </c>
      <c r="B51" s="49">
        <v>28</v>
      </c>
      <c r="E51" s="42"/>
      <c r="F51" s="43"/>
      <c r="G51" s="44"/>
    </row>
    <row r="52" spans="1:7" x14ac:dyDescent="0.25">
      <c r="A52" s="48">
        <v>42340</v>
      </c>
      <c r="B52" s="49">
        <v>6</v>
      </c>
      <c r="E52" s="42"/>
      <c r="F52" s="43"/>
      <c r="G52" s="44"/>
    </row>
    <row r="53" spans="1:7" x14ac:dyDescent="0.25">
      <c r="A53" s="48">
        <v>42353</v>
      </c>
      <c r="B53" s="49">
        <v>12</v>
      </c>
      <c r="E53" s="42"/>
      <c r="F53" s="43"/>
      <c r="G53" s="44"/>
    </row>
    <row r="54" spans="1:7" x14ac:dyDescent="0.25">
      <c r="A54" s="48">
        <v>42368</v>
      </c>
      <c r="B54" s="49">
        <v>4</v>
      </c>
      <c r="E54" s="42"/>
      <c r="F54" s="43"/>
      <c r="G54" s="44"/>
    </row>
    <row r="55" spans="1:7" x14ac:dyDescent="0.25">
      <c r="A55" s="48">
        <v>42382</v>
      </c>
      <c r="B55" s="49">
        <v>2</v>
      </c>
      <c r="E55" s="42"/>
      <c r="F55" s="43"/>
      <c r="G55" s="44"/>
    </row>
    <row r="56" spans="1:7" x14ac:dyDescent="0.25">
      <c r="A56" s="48">
        <v>42396</v>
      </c>
      <c r="B56" s="49">
        <v>8</v>
      </c>
      <c r="E56" s="42"/>
      <c r="F56" s="43"/>
      <c r="G56" s="44"/>
    </row>
    <row r="57" spans="1:7" x14ac:dyDescent="0.25">
      <c r="A57" s="48">
        <v>42410</v>
      </c>
      <c r="B57" s="49">
        <v>0.66666666699999999</v>
      </c>
      <c r="E57" s="42"/>
      <c r="F57" s="43"/>
      <c r="G57" s="44"/>
    </row>
    <row r="58" spans="1:7" x14ac:dyDescent="0.25">
      <c r="A58" s="48">
        <v>42424</v>
      </c>
      <c r="B58" s="49">
        <v>0.66666666699999999</v>
      </c>
      <c r="E58" s="42"/>
      <c r="F58" s="43"/>
      <c r="G58" s="44"/>
    </row>
    <row r="59" spans="1:7" x14ac:dyDescent="0.25">
      <c r="A59" s="48">
        <v>42438</v>
      </c>
      <c r="B59" s="49">
        <v>2</v>
      </c>
      <c r="E59" s="42"/>
      <c r="F59" s="43"/>
      <c r="G59" s="44"/>
    </row>
    <row r="60" spans="1:7" x14ac:dyDescent="0.25">
      <c r="A60" s="48">
        <v>42451</v>
      </c>
      <c r="B60" s="49">
        <v>4</v>
      </c>
      <c r="E60" s="42"/>
      <c r="F60" s="43"/>
      <c r="G60" s="44"/>
    </row>
    <row r="61" spans="1:7" x14ac:dyDescent="0.25">
      <c r="A61" s="48">
        <v>42466</v>
      </c>
      <c r="B61" s="49">
        <v>4</v>
      </c>
      <c r="E61" s="42"/>
      <c r="F61" s="43"/>
      <c r="G61" s="44"/>
    </row>
    <row r="62" spans="1:7" x14ac:dyDescent="0.25">
      <c r="A62" s="48">
        <v>42480</v>
      </c>
      <c r="B62" s="49">
        <v>0.66666666699999999</v>
      </c>
      <c r="E62" s="42"/>
      <c r="F62" s="43"/>
      <c r="G62" s="44"/>
    </row>
    <row r="63" spans="1:7" x14ac:dyDescent="0.25">
      <c r="A63" s="48">
        <v>42494</v>
      </c>
      <c r="B63" s="49">
        <v>72</v>
      </c>
      <c r="E63" s="42"/>
      <c r="F63" s="43"/>
      <c r="G63" s="44"/>
    </row>
    <row r="64" spans="1:7" x14ac:dyDescent="0.25">
      <c r="A64" s="48">
        <v>42508</v>
      </c>
      <c r="B64" s="49">
        <v>44</v>
      </c>
      <c r="E64" s="42"/>
      <c r="F64" s="43"/>
      <c r="G64" s="44"/>
    </row>
    <row r="65" spans="1:7" x14ac:dyDescent="0.25">
      <c r="A65" s="48">
        <v>42522</v>
      </c>
      <c r="B65" s="49">
        <v>42</v>
      </c>
      <c r="E65" s="42"/>
      <c r="F65" s="43"/>
      <c r="G65" s="44"/>
    </row>
    <row r="66" spans="1:7" x14ac:dyDescent="0.25">
      <c r="A66" s="48">
        <v>42536</v>
      </c>
      <c r="B66" s="49">
        <v>42</v>
      </c>
      <c r="E66" s="42"/>
      <c r="F66" s="43"/>
      <c r="G66" s="44"/>
    </row>
    <row r="67" spans="1:7" x14ac:dyDescent="0.25">
      <c r="A67" s="48">
        <v>42550</v>
      </c>
      <c r="B67" s="49">
        <v>2</v>
      </c>
      <c r="E67" s="42"/>
      <c r="F67" s="43"/>
      <c r="G67" s="44"/>
    </row>
    <row r="68" spans="1:7" x14ac:dyDescent="0.25">
      <c r="A68" s="48">
        <v>42564</v>
      </c>
      <c r="B68" s="49">
        <v>14</v>
      </c>
      <c r="E68" s="42"/>
      <c r="F68" s="43"/>
      <c r="G68" s="44"/>
    </row>
    <row r="69" spans="1:7" x14ac:dyDescent="0.25">
      <c r="A69" s="48">
        <v>42578</v>
      </c>
      <c r="B69" s="49">
        <v>152</v>
      </c>
      <c r="E69" s="42"/>
      <c r="F69" s="43"/>
      <c r="G69" s="44"/>
    </row>
    <row r="70" spans="1:7" x14ac:dyDescent="0.25">
      <c r="A70" s="48">
        <v>42592</v>
      </c>
      <c r="B70" s="49">
        <v>2</v>
      </c>
      <c r="E70" s="42"/>
      <c r="F70" s="43"/>
      <c r="G70" s="44"/>
    </row>
    <row r="71" spans="1:7" x14ac:dyDescent="0.25">
      <c r="A71" s="48">
        <v>42606</v>
      </c>
      <c r="B71" s="49">
        <v>2</v>
      </c>
      <c r="E71" s="42"/>
      <c r="F71" s="43"/>
      <c r="G71" s="44"/>
    </row>
    <row r="72" spans="1:7" x14ac:dyDescent="0.25">
      <c r="A72" s="48">
        <v>42620</v>
      </c>
      <c r="B72" s="49">
        <v>0.66666666699999999</v>
      </c>
      <c r="E72" s="42"/>
      <c r="F72" s="43"/>
      <c r="G72" s="44"/>
    </row>
    <row r="73" spans="1:7" x14ac:dyDescent="0.25">
      <c r="A73" s="48">
        <v>42634</v>
      </c>
      <c r="B73" s="49">
        <v>0.66666666699999999</v>
      </c>
      <c r="E73" s="42"/>
      <c r="F73" s="43"/>
      <c r="G73" s="44"/>
    </row>
    <row r="74" spans="1:7" x14ac:dyDescent="0.25">
      <c r="A74" s="48">
        <v>42648</v>
      </c>
      <c r="B74" s="49">
        <v>2</v>
      </c>
      <c r="E74" s="42"/>
      <c r="F74" s="43"/>
      <c r="G74" s="44"/>
    </row>
    <row r="75" spans="1:7" x14ac:dyDescent="0.25">
      <c r="A75" s="48">
        <v>42662</v>
      </c>
      <c r="B75" s="49">
        <v>2</v>
      </c>
      <c r="E75" s="42"/>
      <c r="F75" s="43"/>
      <c r="G75" s="44"/>
    </row>
    <row r="76" spans="1:7" x14ac:dyDescent="0.25">
      <c r="A76" s="48">
        <v>42676</v>
      </c>
      <c r="B76" s="49">
        <v>0.66666666699999999</v>
      </c>
      <c r="E76" s="42"/>
      <c r="F76" s="43"/>
      <c r="G76" s="44"/>
    </row>
    <row r="77" spans="1:7" x14ac:dyDescent="0.25">
      <c r="A77" s="48">
        <v>42690</v>
      </c>
      <c r="B77" s="49">
        <v>182</v>
      </c>
      <c r="E77" s="42"/>
      <c r="F77" s="43"/>
      <c r="G77" s="44"/>
    </row>
    <row r="78" spans="1:7" x14ac:dyDescent="0.25">
      <c r="A78" s="48">
        <v>42704</v>
      </c>
      <c r="B78" s="49">
        <v>3.3333333330000001</v>
      </c>
      <c r="E78" s="42"/>
      <c r="F78" s="43"/>
      <c r="G78" s="44"/>
    </row>
    <row r="79" spans="1:7" x14ac:dyDescent="0.25">
      <c r="A79" s="48">
        <v>42712</v>
      </c>
      <c r="B79" s="49">
        <v>3.3333333330000001</v>
      </c>
      <c r="E79" s="42"/>
      <c r="F79" s="43"/>
      <c r="G79" s="44"/>
    </row>
    <row r="80" spans="1:7" x14ac:dyDescent="0.25">
      <c r="A80" s="48">
        <v>42713</v>
      </c>
      <c r="B80" s="49">
        <v>500</v>
      </c>
      <c r="E80" s="42"/>
      <c r="F80" s="43"/>
      <c r="G80" s="44"/>
    </row>
    <row r="81" spans="1:7" x14ac:dyDescent="0.25">
      <c r="A81" s="48">
        <v>42717</v>
      </c>
      <c r="B81" s="49">
        <v>3.3333333330000001</v>
      </c>
      <c r="E81" s="42"/>
      <c r="F81" s="43"/>
      <c r="G81" s="44"/>
    </row>
    <row r="82" spans="1:7" x14ac:dyDescent="0.25">
      <c r="A82" s="48">
        <v>42718</v>
      </c>
      <c r="B82" s="49">
        <v>3.3333333330000001</v>
      </c>
      <c r="E82" s="42"/>
      <c r="F82" s="43"/>
      <c r="G82" s="44"/>
    </row>
    <row r="83" spans="1:7" x14ac:dyDescent="0.25">
      <c r="A83" s="48">
        <v>42719</v>
      </c>
      <c r="B83" s="49">
        <v>20</v>
      </c>
      <c r="E83" s="42"/>
      <c r="F83" s="43"/>
      <c r="G83" s="44"/>
    </row>
    <row r="84" spans="1:7" x14ac:dyDescent="0.25">
      <c r="A84" s="48">
        <v>42733</v>
      </c>
      <c r="B84" s="49">
        <v>10</v>
      </c>
      <c r="E84" s="42"/>
      <c r="F84" s="43"/>
      <c r="G84" s="44"/>
    </row>
    <row r="85" spans="1:7" x14ac:dyDescent="0.25">
      <c r="A85" s="48">
        <v>42746</v>
      </c>
      <c r="B85" s="49">
        <v>2</v>
      </c>
      <c r="E85" s="42"/>
      <c r="F85" s="43"/>
      <c r="G85" s="44"/>
    </row>
    <row r="86" spans="1:7" x14ac:dyDescent="0.25">
      <c r="A86" s="48">
        <v>42760</v>
      </c>
      <c r="B86" s="49">
        <v>0.66666666699999999</v>
      </c>
      <c r="E86" s="42"/>
      <c r="F86" s="43"/>
      <c r="G86" s="44"/>
    </row>
    <row r="87" spans="1:7" x14ac:dyDescent="0.25">
      <c r="A87" s="48">
        <v>42774</v>
      </c>
      <c r="B87" s="49">
        <v>0.66666666699999999</v>
      </c>
      <c r="E87" s="42"/>
      <c r="F87" s="43"/>
      <c r="G87" s="44"/>
    </row>
    <row r="88" spans="1:7" x14ac:dyDescent="0.25">
      <c r="A88" s="48">
        <v>42788</v>
      </c>
      <c r="B88" s="49">
        <v>72</v>
      </c>
      <c r="E88" s="42"/>
      <c r="F88" s="43"/>
      <c r="G88" s="44"/>
    </row>
    <row r="89" spans="1:7" x14ac:dyDescent="0.25">
      <c r="A89" s="48">
        <v>42802</v>
      </c>
      <c r="B89" s="49">
        <v>4</v>
      </c>
      <c r="E89" s="42"/>
      <c r="F89" s="43"/>
      <c r="G89" s="44"/>
    </row>
    <row r="90" spans="1:7" x14ac:dyDescent="0.25">
      <c r="A90" s="48">
        <v>42816</v>
      </c>
      <c r="B90" s="49">
        <v>8</v>
      </c>
      <c r="E90" s="42"/>
      <c r="F90" s="43"/>
      <c r="G90" s="44"/>
    </row>
    <row r="91" spans="1:7" x14ac:dyDescent="0.25">
      <c r="A91" s="48">
        <v>42830</v>
      </c>
      <c r="B91" s="49">
        <v>32</v>
      </c>
      <c r="E91" s="42"/>
      <c r="F91" s="43"/>
      <c r="G91" s="44"/>
    </row>
    <row r="92" spans="1:7" x14ac:dyDescent="0.25">
      <c r="A92" s="48">
        <v>42844</v>
      </c>
      <c r="B92" s="49">
        <v>4</v>
      </c>
      <c r="E92" s="42"/>
      <c r="F92" s="43"/>
      <c r="G92" s="44"/>
    </row>
    <row r="93" spans="1:7" x14ac:dyDescent="0.25">
      <c r="A93" s="48">
        <v>42858</v>
      </c>
      <c r="B93" s="49">
        <v>6</v>
      </c>
      <c r="E93" s="42"/>
      <c r="F93" s="43"/>
      <c r="G93" s="44"/>
    </row>
    <row r="94" spans="1:7" x14ac:dyDescent="0.25">
      <c r="A94" s="48">
        <v>42872</v>
      </c>
      <c r="B94" s="49">
        <v>22</v>
      </c>
      <c r="E94" s="42"/>
      <c r="F94" s="43"/>
      <c r="G94" s="44"/>
    </row>
    <row r="95" spans="1:7" x14ac:dyDescent="0.25">
      <c r="A95" s="48">
        <v>42886</v>
      </c>
      <c r="B95" s="49">
        <v>6</v>
      </c>
      <c r="E95" s="42"/>
      <c r="F95" s="43"/>
      <c r="G95" s="44"/>
    </row>
    <row r="96" spans="1:7" x14ac:dyDescent="0.25">
      <c r="A96" s="48">
        <v>42900</v>
      </c>
      <c r="B96" s="49">
        <v>28</v>
      </c>
      <c r="E96" s="42"/>
      <c r="F96" s="43"/>
      <c r="G96" s="44"/>
    </row>
    <row r="97" spans="1:7" x14ac:dyDescent="0.25">
      <c r="A97" s="48">
        <v>42914</v>
      </c>
      <c r="B97" s="49">
        <v>50</v>
      </c>
      <c r="E97" s="42"/>
      <c r="F97" s="43"/>
      <c r="G97" s="44"/>
    </row>
    <row r="98" spans="1:7" x14ac:dyDescent="0.25">
      <c r="A98" s="48">
        <v>42928</v>
      </c>
      <c r="B98" s="49">
        <v>36</v>
      </c>
      <c r="E98" s="42"/>
      <c r="F98" s="43"/>
      <c r="G98" s="44"/>
    </row>
    <row r="99" spans="1:7" x14ac:dyDescent="0.25">
      <c r="A99" s="48">
        <v>42942</v>
      </c>
      <c r="B99" s="49">
        <v>86</v>
      </c>
      <c r="E99" s="42"/>
      <c r="F99" s="43"/>
      <c r="G99" s="44"/>
    </row>
    <row r="100" spans="1:7" x14ac:dyDescent="0.25">
      <c r="A100" s="48">
        <v>42957</v>
      </c>
      <c r="B100" s="49">
        <v>2</v>
      </c>
      <c r="E100" s="42"/>
      <c r="F100" s="43"/>
      <c r="G100" s="44"/>
    </row>
    <row r="101" spans="1:7" x14ac:dyDescent="0.25">
      <c r="A101" s="48">
        <v>42970</v>
      </c>
      <c r="B101" s="49">
        <v>28</v>
      </c>
      <c r="E101" s="42"/>
      <c r="F101" s="43"/>
      <c r="G101" s="44"/>
    </row>
    <row r="102" spans="1:7" x14ac:dyDescent="0.25">
      <c r="A102" s="48">
        <v>42984</v>
      </c>
      <c r="B102" s="49">
        <v>22</v>
      </c>
      <c r="E102" s="42"/>
      <c r="F102" s="43"/>
      <c r="G102" s="44"/>
    </row>
    <row r="103" spans="1:7" x14ac:dyDescent="0.25">
      <c r="A103" s="48">
        <v>42998</v>
      </c>
      <c r="B103" s="49">
        <v>14</v>
      </c>
      <c r="E103" s="42"/>
      <c r="F103" s="43"/>
      <c r="G103" s="44"/>
    </row>
    <row r="104" spans="1:7" x14ac:dyDescent="0.25">
      <c r="A104" s="48">
        <v>43012</v>
      </c>
      <c r="B104" s="49">
        <v>6</v>
      </c>
      <c r="E104" s="42"/>
      <c r="F104" s="43"/>
      <c r="G104" s="44"/>
    </row>
    <row r="105" spans="1:7" x14ac:dyDescent="0.25">
      <c r="A105" s="48">
        <v>43026</v>
      </c>
      <c r="B105" s="49">
        <v>0.66666666699999999</v>
      </c>
      <c r="E105" s="42"/>
      <c r="F105" s="43"/>
      <c r="G105" s="44"/>
    </row>
    <row r="106" spans="1:7" x14ac:dyDescent="0.25">
      <c r="A106" s="48">
        <v>43040</v>
      </c>
      <c r="B106" s="49">
        <v>0.66666666699999999</v>
      </c>
      <c r="E106" s="42"/>
      <c r="F106" s="43"/>
      <c r="G106" s="44"/>
    </row>
    <row r="107" spans="1:7" x14ac:dyDescent="0.25">
      <c r="A107" s="48">
        <v>43054</v>
      </c>
      <c r="B107" s="49">
        <v>32</v>
      </c>
      <c r="E107" s="42"/>
      <c r="F107" s="43"/>
      <c r="G107" s="44"/>
    </row>
    <row r="108" spans="1:7" x14ac:dyDescent="0.25">
      <c r="A108" s="48">
        <v>43068</v>
      </c>
      <c r="B108" s="49">
        <v>2</v>
      </c>
      <c r="E108" s="42"/>
      <c r="F108" s="43"/>
      <c r="G108" s="44"/>
    </row>
    <row r="109" spans="1:7" x14ac:dyDescent="0.25">
      <c r="A109" s="48">
        <v>43082</v>
      </c>
      <c r="B109" s="49">
        <v>10</v>
      </c>
      <c r="E109" s="42"/>
      <c r="F109" s="43"/>
      <c r="G109" s="44"/>
    </row>
    <row r="110" spans="1:7" x14ac:dyDescent="0.25">
      <c r="A110" s="48">
        <v>43097</v>
      </c>
      <c r="B110" s="49">
        <v>2</v>
      </c>
      <c r="E110" s="42"/>
      <c r="F110" s="43"/>
      <c r="G110" s="44"/>
    </row>
    <row r="111" spans="1:7" x14ac:dyDescent="0.25">
      <c r="A111" s="48">
        <v>43110</v>
      </c>
      <c r="B111" s="49">
        <v>4</v>
      </c>
      <c r="E111" s="42"/>
      <c r="F111" s="43"/>
      <c r="G111" s="44"/>
    </row>
    <row r="112" spans="1:7" x14ac:dyDescent="0.25">
      <c r="A112" s="48">
        <v>43124</v>
      </c>
      <c r="B112" s="49">
        <v>2</v>
      </c>
      <c r="E112" s="42"/>
      <c r="F112" s="43"/>
      <c r="G112" s="44"/>
    </row>
    <row r="113" spans="1:7" x14ac:dyDescent="0.25">
      <c r="A113" s="48">
        <v>43138</v>
      </c>
      <c r="B113" s="49">
        <v>2</v>
      </c>
      <c r="E113" s="42"/>
      <c r="F113" s="43"/>
      <c r="G113" s="44"/>
    </row>
    <row r="114" spans="1:7" x14ac:dyDescent="0.25">
      <c r="A114" s="48">
        <v>43152</v>
      </c>
      <c r="B114" s="49">
        <v>6</v>
      </c>
      <c r="E114" s="42"/>
      <c r="F114" s="43"/>
      <c r="G114" s="44"/>
    </row>
    <row r="115" spans="1:7" x14ac:dyDescent="0.25">
      <c r="A115" s="48">
        <v>43166</v>
      </c>
      <c r="B115" s="49">
        <v>18</v>
      </c>
      <c r="E115" s="42"/>
      <c r="F115" s="43"/>
      <c r="G115" s="44"/>
    </row>
    <row r="116" spans="1:7" x14ac:dyDescent="0.25">
      <c r="A116" s="48">
        <v>43181</v>
      </c>
      <c r="B116" s="49">
        <v>2</v>
      </c>
      <c r="E116" s="42"/>
      <c r="F116" s="43"/>
      <c r="G116" s="44"/>
    </row>
    <row r="117" spans="1:7" x14ac:dyDescent="0.25">
      <c r="A117" s="48">
        <v>43194</v>
      </c>
      <c r="B117" s="49">
        <v>46</v>
      </c>
      <c r="E117" s="42"/>
      <c r="F117" s="43"/>
      <c r="G117" s="44"/>
    </row>
    <row r="118" spans="1:7" x14ac:dyDescent="0.25">
      <c r="A118" s="48">
        <v>43208</v>
      </c>
      <c r="B118" s="49">
        <v>148</v>
      </c>
      <c r="E118" s="42"/>
      <c r="F118" s="43"/>
      <c r="G118" s="44"/>
    </row>
    <row r="119" spans="1:7" x14ac:dyDescent="0.25">
      <c r="A119" s="48">
        <v>43222</v>
      </c>
      <c r="B119" s="49">
        <v>2</v>
      </c>
      <c r="E119" s="42"/>
      <c r="F119" s="43"/>
      <c r="G119" s="44"/>
    </row>
    <row r="120" spans="1:7" x14ac:dyDescent="0.25">
      <c r="A120" s="48">
        <v>43236</v>
      </c>
      <c r="B120" s="49">
        <v>0.66666666699999999</v>
      </c>
      <c r="E120" s="42"/>
      <c r="F120" s="43"/>
      <c r="G120" s="44"/>
    </row>
    <row r="121" spans="1:7" x14ac:dyDescent="0.25">
      <c r="A121" s="48">
        <v>43250</v>
      </c>
      <c r="B121" s="49">
        <v>24</v>
      </c>
      <c r="E121" s="42"/>
      <c r="F121" s="43"/>
      <c r="G121" s="44"/>
    </row>
    <row r="122" spans="1:7" x14ac:dyDescent="0.25">
      <c r="A122" s="48">
        <v>43264</v>
      </c>
      <c r="B122" s="49">
        <v>12</v>
      </c>
      <c r="E122" s="42"/>
      <c r="F122" s="43"/>
      <c r="G122" s="44"/>
    </row>
    <row r="123" spans="1:7" x14ac:dyDescent="0.25">
      <c r="A123" s="48">
        <v>43278</v>
      </c>
      <c r="B123" s="49">
        <v>84</v>
      </c>
      <c r="E123" s="42"/>
      <c r="F123" s="43"/>
      <c r="G123" s="44"/>
    </row>
    <row r="124" spans="1:7" x14ac:dyDescent="0.25">
      <c r="A124" s="48">
        <v>43292</v>
      </c>
      <c r="B124" s="49">
        <v>2</v>
      </c>
      <c r="E124" s="42"/>
      <c r="F124" s="43"/>
      <c r="G124" s="44"/>
    </row>
    <row r="125" spans="1:7" x14ac:dyDescent="0.25">
      <c r="A125" s="48">
        <v>43306</v>
      </c>
      <c r="B125" s="49">
        <v>6</v>
      </c>
      <c r="E125" s="42"/>
      <c r="F125" s="43"/>
      <c r="G125" s="44"/>
    </row>
    <row r="126" spans="1:7" x14ac:dyDescent="0.25">
      <c r="A126" s="48">
        <v>43320</v>
      </c>
      <c r="B126" s="49">
        <v>0.66666666699999999</v>
      </c>
      <c r="E126" s="42"/>
      <c r="F126" s="43"/>
      <c r="G126" s="44"/>
    </row>
    <row r="127" spans="1:7" x14ac:dyDescent="0.25">
      <c r="A127" s="48">
        <v>43334</v>
      </c>
      <c r="B127" s="49">
        <v>2</v>
      </c>
      <c r="E127" s="42"/>
      <c r="F127" s="43"/>
      <c r="G127" s="44"/>
    </row>
    <row r="128" spans="1:7" x14ac:dyDescent="0.25">
      <c r="A128" s="48">
        <v>43348</v>
      </c>
      <c r="B128" s="49">
        <v>10</v>
      </c>
      <c r="E128" s="42"/>
      <c r="F128" s="43"/>
      <c r="G128" s="44"/>
    </row>
    <row r="129" spans="1:7" x14ac:dyDescent="0.25">
      <c r="A129" s="48">
        <v>43362</v>
      </c>
      <c r="B129" s="49">
        <v>90</v>
      </c>
      <c r="E129" s="42"/>
      <c r="F129" s="43"/>
      <c r="G129" s="44"/>
    </row>
    <row r="130" spans="1:7" x14ac:dyDescent="0.25">
      <c r="A130" s="48">
        <v>43376.409722222219</v>
      </c>
      <c r="B130" s="49">
        <v>14</v>
      </c>
      <c r="E130" s="42"/>
      <c r="F130" s="43"/>
      <c r="G130" s="44"/>
    </row>
    <row r="131" spans="1:7" x14ac:dyDescent="0.25">
      <c r="A131" s="48">
        <v>43390.413888888892</v>
      </c>
      <c r="B131" s="49">
        <v>26</v>
      </c>
      <c r="E131" s="42"/>
      <c r="F131" s="43"/>
      <c r="G131" s="44"/>
    </row>
    <row r="132" spans="1:7" x14ac:dyDescent="0.25">
      <c r="A132" s="48">
        <v>43404.402083333334</v>
      </c>
      <c r="B132" s="49">
        <v>2</v>
      </c>
      <c r="E132" s="42"/>
      <c r="F132" s="43"/>
      <c r="G132" s="44"/>
    </row>
    <row r="133" spans="1:7" x14ac:dyDescent="0.25">
      <c r="A133" s="48">
        <v>43418.400694444441</v>
      </c>
      <c r="B133" s="49">
        <v>6</v>
      </c>
      <c r="E133" s="42"/>
      <c r="F133" s="43"/>
      <c r="G133" s="44"/>
    </row>
    <row r="134" spans="1:7" x14ac:dyDescent="0.25">
      <c r="A134" s="48">
        <v>43432.356944444444</v>
      </c>
      <c r="B134" s="49">
        <v>10</v>
      </c>
      <c r="E134" s="42"/>
      <c r="F134" s="43"/>
      <c r="G134" s="44"/>
    </row>
    <row r="135" spans="1:7" x14ac:dyDescent="0.25">
      <c r="A135" s="48">
        <v>43446.400694444441</v>
      </c>
      <c r="B135" s="49">
        <v>8</v>
      </c>
      <c r="E135" s="42"/>
      <c r="F135" s="43"/>
      <c r="G135" s="44"/>
    </row>
    <row r="136" spans="1:7" x14ac:dyDescent="0.25">
      <c r="A136" s="48">
        <v>43451.461805555555</v>
      </c>
      <c r="B136" s="49">
        <v>6</v>
      </c>
      <c r="E136" s="42"/>
      <c r="F136" s="43"/>
      <c r="G136" s="44"/>
    </row>
    <row r="137" spans="1:7" x14ac:dyDescent="0.25">
      <c r="A137" s="48">
        <v>43474.399305555555</v>
      </c>
      <c r="B137" s="49">
        <v>0.66666666699999999</v>
      </c>
      <c r="E137" s="42"/>
      <c r="F137" s="43"/>
      <c r="G137" s="44"/>
    </row>
    <row r="138" spans="1:7" x14ac:dyDescent="0.25">
      <c r="A138" s="48">
        <v>43488.40347222222</v>
      </c>
      <c r="B138" s="49">
        <v>0.66666666699999999</v>
      </c>
      <c r="E138" s="42"/>
      <c r="F138" s="43"/>
      <c r="G138" s="44"/>
    </row>
    <row r="139" spans="1:7" x14ac:dyDescent="0.25">
      <c r="A139" s="48">
        <v>43502.404166666667</v>
      </c>
      <c r="B139" s="49">
        <v>4</v>
      </c>
      <c r="E139" s="42"/>
      <c r="F139" s="43"/>
      <c r="G139" s="44"/>
    </row>
    <row r="140" spans="1:7" x14ac:dyDescent="0.25">
      <c r="A140" s="48">
        <v>43516.404861111114</v>
      </c>
      <c r="B140" s="49">
        <v>22</v>
      </c>
      <c r="E140" s="42"/>
      <c r="F140" s="43"/>
      <c r="G140" s="44"/>
    </row>
    <row r="141" spans="1:7" x14ac:dyDescent="0.25">
      <c r="A141" s="48">
        <v>43530.404861111114</v>
      </c>
      <c r="B141" s="49">
        <v>22</v>
      </c>
    </row>
    <row r="142" spans="1:7" x14ac:dyDescent="0.25">
      <c r="A142" s="48">
        <v>43544</v>
      </c>
      <c r="B142" s="49">
        <v>2</v>
      </c>
    </row>
    <row r="143" spans="1:7" x14ac:dyDescent="0.25">
      <c r="A143" s="48">
        <v>43558</v>
      </c>
      <c r="B143" s="49">
        <v>48</v>
      </c>
    </row>
    <row r="144" spans="1:7" x14ac:dyDescent="0.25">
      <c r="A144" s="48">
        <v>43571</v>
      </c>
      <c r="B144" s="49">
        <v>0.66666666699999999</v>
      </c>
    </row>
    <row r="145" spans="1:2" x14ac:dyDescent="0.25">
      <c r="A145" s="48">
        <v>43587</v>
      </c>
      <c r="B145" s="49">
        <v>102</v>
      </c>
    </row>
    <row r="146" spans="1:2" x14ac:dyDescent="0.25">
      <c r="A146" s="48">
        <v>43600</v>
      </c>
      <c r="B146" s="49">
        <v>2</v>
      </c>
    </row>
    <row r="147" spans="1:2" x14ac:dyDescent="0.25">
      <c r="A147" s="48">
        <v>43614</v>
      </c>
      <c r="B147" s="49">
        <v>10</v>
      </c>
    </row>
    <row r="148" spans="1:2" x14ac:dyDescent="0.25">
      <c r="A148" s="48">
        <v>43628</v>
      </c>
      <c r="B148" s="49">
        <v>82</v>
      </c>
    </row>
    <row r="149" spans="1:2" x14ac:dyDescent="0.25">
      <c r="A149" s="48">
        <v>43642</v>
      </c>
      <c r="B149" s="49">
        <v>16</v>
      </c>
    </row>
    <row r="150" spans="1:2" x14ac:dyDescent="0.25">
      <c r="A150" s="48">
        <v>43656</v>
      </c>
      <c r="B150" s="49">
        <v>0.66666666699999999</v>
      </c>
    </row>
    <row r="151" spans="1:2" x14ac:dyDescent="0.25">
      <c r="A151" s="48">
        <v>43670</v>
      </c>
      <c r="B151" s="49">
        <v>108</v>
      </c>
    </row>
    <row r="152" spans="1:2" x14ac:dyDescent="0.25">
      <c r="A152" s="48">
        <v>43683</v>
      </c>
      <c r="B152" s="49">
        <v>48</v>
      </c>
    </row>
    <row r="153" spans="1:2" x14ac:dyDescent="0.25">
      <c r="A153" s="48">
        <v>43698</v>
      </c>
      <c r="B153" s="49">
        <v>2</v>
      </c>
    </row>
    <row r="154" spans="1:2" x14ac:dyDescent="0.25">
      <c r="A154" s="48">
        <v>43740</v>
      </c>
      <c r="B154" s="49">
        <v>2</v>
      </c>
    </row>
    <row r="155" spans="1:2" x14ac:dyDescent="0.25">
      <c r="A155" s="48">
        <v>43754</v>
      </c>
      <c r="B155" s="49">
        <v>5000</v>
      </c>
    </row>
    <row r="156" spans="1:2" x14ac:dyDescent="0.25">
      <c r="A156" s="48">
        <v>43768</v>
      </c>
      <c r="B156" s="49">
        <v>2</v>
      </c>
    </row>
    <row r="157" spans="1:2" x14ac:dyDescent="0.25">
      <c r="A157" s="48">
        <v>43782</v>
      </c>
      <c r="B157" s="49">
        <v>4</v>
      </c>
    </row>
    <row r="158" spans="1:2" x14ac:dyDescent="0.25">
      <c r="A158" s="48">
        <v>43796</v>
      </c>
      <c r="B158" s="49">
        <v>0.66666666699999999</v>
      </c>
    </row>
    <row r="159" spans="1:2" x14ac:dyDescent="0.25">
      <c r="A159" s="46">
        <v>43810</v>
      </c>
      <c r="B159" s="47">
        <v>4</v>
      </c>
    </row>
    <row r="160" spans="1:2" x14ac:dyDescent="0.25">
      <c r="A160" s="46">
        <v>43817</v>
      </c>
      <c r="B160" s="47">
        <v>18</v>
      </c>
    </row>
    <row r="161" spans="1:2" x14ac:dyDescent="0.25">
      <c r="A161" s="46">
        <v>43821</v>
      </c>
      <c r="B161" s="47">
        <v>0.66666599999999998</v>
      </c>
    </row>
    <row r="162" spans="1:2" x14ac:dyDescent="0.25">
      <c r="A162" s="46">
        <v>43832</v>
      </c>
      <c r="B162" s="47">
        <v>45</v>
      </c>
    </row>
    <row r="163" spans="1:2" x14ac:dyDescent="0.25">
      <c r="A163" s="46">
        <v>43838</v>
      </c>
      <c r="B163" s="47">
        <v>0.66666599999999998</v>
      </c>
    </row>
    <row r="164" spans="1:2" x14ac:dyDescent="0.25">
      <c r="A164" s="46">
        <v>43838</v>
      </c>
      <c r="B164" s="47">
        <v>1</v>
      </c>
    </row>
    <row r="165" spans="1:2" x14ac:dyDescent="0.25">
      <c r="A165" s="46">
        <v>43845</v>
      </c>
      <c r="B165" s="47">
        <v>3</v>
      </c>
    </row>
    <row r="166" spans="1:2" x14ac:dyDescent="0.25">
      <c r="A166" s="46">
        <v>43852</v>
      </c>
      <c r="B166" s="47">
        <v>2</v>
      </c>
    </row>
    <row r="167" spans="1:2" x14ac:dyDescent="0.25">
      <c r="A167" s="46">
        <v>43852</v>
      </c>
      <c r="B167" s="47">
        <v>18</v>
      </c>
    </row>
    <row r="168" spans="1:2" x14ac:dyDescent="0.25">
      <c r="A168" s="46">
        <v>43857</v>
      </c>
      <c r="B168" s="47">
        <v>0.66666599999999998</v>
      </c>
    </row>
    <row r="169" spans="1:2" x14ac:dyDescent="0.25">
      <c r="A169" s="46">
        <v>43860</v>
      </c>
      <c r="B169" s="47">
        <v>45</v>
      </c>
    </row>
    <row r="170" spans="1:2" x14ac:dyDescent="0.25">
      <c r="A170" s="46">
        <v>43866</v>
      </c>
      <c r="B170" s="47">
        <v>1</v>
      </c>
    </row>
    <row r="171" spans="1:2" x14ac:dyDescent="0.25">
      <c r="A171" s="46">
        <v>43866</v>
      </c>
      <c r="B171" s="47">
        <v>1</v>
      </c>
    </row>
    <row r="172" spans="1:2" x14ac:dyDescent="0.25">
      <c r="A172" s="46">
        <v>43866</v>
      </c>
      <c r="B172" s="47">
        <v>18</v>
      </c>
    </row>
    <row r="173" spans="1:2" x14ac:dyDescent="0.25">
      <c r="A173" s="46">
        <v>43880</v>
      </c>
      <c r="B173" s="47">
        <v>16</v>
      </c>
    </row>
    <row r="174" spans="1:2" x14ac:dyDescent="0.25">
      <c r="A174" s="46">
        <v>43880</v>
      </c>
      <c r="B174" s="47">
        <v>1</v>
      </c>
    </row>
    <row r="175" spans="1:2" x14ac:dyDescent="0.25">
      <c r="A175" s="46">
        <v>43893</v>
      </c>
      <c r="B175" s="47">
        <v>24</v>
      </c>
    </row>
    <row r="176" spans="1:2" x14ac:dyDescent="0.25">
      <c r="A176" s="46">
        <v>43894</v>
      </c>
      <c r="B176" s="47">
        <v>0.66666599999999998</v>
      </c>
    </row>
    <row r="177" spans="1:2" x14ac:dyDescent="0.25">
      <c r="A177" s="46">
        <v>43908</v>
      </c>
      <c r="B177" s="47">
        <v>2</v>
      </c>
    </row>
    <row r="178" spans="1:2" x14ac:dyDescent="0.25">
      <c r="A178" s="46">
        <v>43908</v>
      </c>
      <c r="B178" s="47">
        <v>4</v>
      </c>
    </row>
    <row r="179" spans="1:2" x14ac:dyDescent="0.25">
      <c r="A179" s="46">
        <v>43992</v>
      </c>
      <c r="B179" s="47">
        <v>28</v>
      </c>
    </row>
    <row r="180" spans="1:2" x14ac:dyDescent="0.25">
      <c r="A180" s="46">
        <v>44007</v>
      </c>
      <c r="B180" s="47">
        <v>6</v>
      </c>
    </row>
    <row r="181" spans="1:2" x14ac:dyDescent="0.25">
      <c r="A181" s="46">
        <v>44020</v>
      </c>
      <c r="B181" s="49">
        <v>0.22184874961635634</v>
      </c>
    </row>
    <row r="182" spans="1:2" x14ac:dyDescent="0.25">
      <c r="A182" s="46">
        <v>44034</v>
      </c>
      <c r="B182" s="47">
        <v>20</v>
      </c>
    </row>
    <row r="183" spans="1:2" x14ac:dyDescent="0.25">
      <c r="A183" s="46">
        <v>44048</v>
      </c>
      <c r="B183" s="47">
        <v>12</v>
      </c>
    </row>
    <row r="184" spans="1:2" x14ac:dyDescent="0.25">
      <c r="A184" s="46">
        <v>44062</v>
      </c>
      <c r="B184" s="47">
        <v>10</v>
      </c>
    </row>
    <row r="185" spans="1:2" x14ac:dyDescent="0.25">
      <c r="A185" s="46">
        <v>44076</v>
      </c>
      <c r="B185" s="49">
        <v>0.22184874961635634</v>
      </c>
    </row>
    <row r="186" spans="1:2" x14ac:dyDescent="0.25">
      <c r="A186" s="46">
        <v>44090</v>
      </c>
      <c r="B186" s="47">
        <v>14</v>
      </c>
    </row>
    <row r="187" spans="1:2" x14ac:dyDescent="0.25">
      <c r="A187" s="46">
        <v>44118</v>
      </c>
      <c r="B187" s="47">
        <f>2/3</f>
        <v>0.66666666666666663</v>
      </c>
    </row>
    <row r="188" spans="1:2" x14ac:dyDescent="0.25">
      <c r="A188" s="46">
        <v>44132</v>
      </c>
      <c r="B188" s="47">
        <v>2</v>
      </c>
    </row>
    <row r="189" spans="1:2" x14ac:dyDescent="0.25">
      <c r="A189" s="46">
        <v>44146</v>
      </c>
      <c r="B189" s="47">
        <f>2/3</f>
        <v>0.66666666666666663</v>
      </c>
    </row>
    <row r="190" spans="1:2" x14ac:dyDescent="0.25">
      <c r="A190" s="46">
        <v>44160</v>
      </c>
      <c r="B190" s="47">
        <v>6</v>
      </c>
    </row>
    <row r="191" spans="1:2" x14ac:dyDescent="0.25">
      <c r="A191" s="46">
        <v>44173</v>
      </c>
      <c r="B191" s="47">
        <v>4</v>
      </c>
    </row>
    <row r="192" spans="1:2" x14ac:dyDescent="0.25">
      <c r="A192" s="46">
        <v>44174</v>
      </c>
      <c r="B192" s="47">
        <f>2/3</f>
        <v>0.66666666666666663</v>
      </c>
    </row>
    <row r="193" spans="1:2" x14ac:dyDescent="0.25">
      <c r="A193" s="46">
        <v>44180</v>
      </c>
      <c r="B193" s="47">
        <v>1</v>
      </c>
    </row>
    <row r="194" spans="1:2" x14ac:dyDescent="0.25">
      <c r="A194" s="46">
        <v>44188</v>
      </c>
      <c r="B194" s="47">
        <v>2</v>
      </c>
    </row>
    <row r="195" spans="1:2" x14ac:dyDescent="0.25">
      <c r="A195" s="46">
        <v>44202</v>
      </c>
      <c r="B195" s="47">
        <f>2/3</f>
        <v>0.66666666666666663</v>
      </c>
    </row>
    <row r="196" spans="1:2" x14ac:dyDescent="0.25">
      <c r="A196" s="46">
        <v>44216</v>
      </c>
      <c r="B196" s="47">
        <v>1</v>
      </c>
    </row>
    <row r="197" spans="1:2" x14ac:dyDescent="0.25">
      <c r="A197" s="46">
        <v>44223</v>
      </c>
      <c r="B197" s="47">
        <v>3</v>
      </c>
    </row>
    <row r="198" spans="1:2" x14ac:dyDescent="0.25">
      <c r="A198" s="46">
        <v>44229</v>
      </c>
      <c r="B198" s="47">
        <v>19</v>
      </c>
    </row>
    <row r="199" spans="1:2" x14ac:dyDescent="0.25">
      <c r="A199" s="46">
        <v>44230</v>
      </c>
      <c r="B199" s="47">
        <v>26</v>
      </c>
    </row>
    <row r="200" spans="1:2" x14ac:dyDescent="0.25">
      <c r="A200" s="46">
        <v>44236</v>
      </c>
      <c r="B200" s="47">
        <v>2</v>
      </c>
    </row>
    <row r="201" spans="1:2" x14ac:dyDescent="0.25">
      <c r="A201" s="46">
        <v>44243</v>
      </c>
      <c r="B201" s="47">
        <v>4</v>
      </c>
    </row>
    <row r="202" spans="1:2" x14ac:dyDescent="0.25">
      <c r="A202" s="46">
        <v>44244</v>
      </c>
      <c r="B202" s="47">
        <v>54</v>
      </c>
    </row>
    <row r="203" spans="1:2" x14ac:dyDescent="0.25">
      <c r="A203" s="46">
        <v>44250</v>
      </c>
      <c r="B203" s="47">
        <v>4</v>
      </c>
    </row>
    <row r="204" spans="1:2" x14ac:dyDescent="0.25">
      <c r="A204" s="46">
        <v>44257</v>
      </c>
      <c r="B204" s="47">
        <v>26</v>
      </c>
    </row>
    <row r="205" spans="1:2" x14ac:dyDescent="0.25">
      <c r="A205" s="46">
        <v>44258</v>
      </c>
      <c r="B205" s="47">
        <v>2</v>
      </c>
    </row>
    <row r="206" spans="1:2" x14ac:dyDescent="0.25">
      <c r="A206" s="46">
        <v>44264</v>
      </c>
      <c r="B206" s="47">
        <v>22</v>
      </c>
    </row>
    <row r="207" spans="1:2" x14ac:dyDescent="0.25">
      <c r="A207" s="46">
        <v>44271</v>
      </c>
      <c r="B207" s="47">
        <v>4</v>
      </c>
    </row>
    <row r="208" spans="1:2" x14ac:dyDescent="0.25">
      <c r="A208" s="46">
        <v>44272</v>
      </c>
      <c r="B208" s="47">
        <f>2/3</f>
        <v>0.66666666666666663</v>
      </c>
    </row>
    <row r="209" spans="1:2" x14ac:dyDescent="0.25">
      <c r="A209" s="46">
        <v>44279</v>
      </c>
      <c r="B209" s="47">
        <v>5</v>
      </c>
    </row>
    <row r="210" spans="1:2" x14ac:dyDescent="0.25">
      <c r="A210" s="46">
        <v>44300</v>
      </c>
      <c r="B210" s="47">
        <v>4</v>
      </c>
    </row>
    <row r="211" spans="1:2" x14ac:dyDescent="0.25">
      <c r="A211" s="46">
        <v>44314</v>
      </c>
      <c r="B211" s="47">
        <v>40</v>
      </c>
    </row>
    <row r="212" spans="1:2" x14ac:dyDescent="0.25">
      <c r="A212" s="46">
        <v>44321</v>
      </c>
    </row>
    <row r="213" spans="1:2" x14ac:dyDescent="0.25">
      <c r="A213" s="46">
        <v>44328</v>
      </c>
      <c r="B213" s="47">
        <v>20</v>
      </c>
    </row>
    <row r="214" spans="1:2" x14ac:dyDescent="0.25">
      <c r="A214" s="46">
        <v>44384</v>
      </c>
      <c r="B214" s="47">
        <v>114</v>
      </c>
    </row>
    <row r="215" spans="1:2" x14ac:dyDescent="0.25">
      <c r="A215" s="46">
        <v>44412</v>
      </c>
      <c r="B215" s="47">
        <v>62</v>
      </c>
    </row>
    <row r="216" spans="1:2" x14ac:dyDescent="0.25">
      <c r="A216" s="46">
        <v>44426</v>
      </c>
      <c r="B216" s="47">
        <f>200*3</f>
        <v>600</v>
      </c>
    </row>
    <row r="217" spans="1:2" x14ac:dyDescent="0.25">
      <c r="A217" s="46">
        <v>44454</v>
      </c>
      <c r="B217" s="47">
        <v>2</v>
      </c>
    </row>
    <row r="218" spans="1:2" x14ac:dyDescent="0.25">
      <c r="A218" s="46">
        <v>44468</v>
      </c>
      <c r="B218" s="47">
        <v>2</v>
      </c>
    </row>
    <row r="219" spans="1:2" x14ac:dyDescent="0.25">
      <c r="A219" s="46">
        <v>44482</v>
      </c>
      <c r="B219" s="47">
        <v>148</v>
      </c>
    </row>
    <row r="220" spans="1:2" x14ac:dyDescent="0.25">
      <c r="A220" s="46">
        <v>44496</v>
      </c>
      <c r="B220" s="47">
        <v>14</v>
      </c>
    </row>
    <row r="221" spans="1:2" x14ac:dyDescent="0.25">
      <c r="A221" s="46">
        <v>44510</v>
      </c>
      <c r="B221" s="47">
        <f>1/3</f>
        <v>0.33333333333333331</v>
      </c>
    </row>
    <row r="222" spans="1:2" x14ac:dyDescent="0.25">
      <c r="A222" s="46">
        <v>44524</v>
      </c>
      <c r="B222" s="47">
        <f>10/3</f>
        <v>3.3333333333333335</v>
      </c>
    </row>
    <row r="223" spans="1:2" x14ac:dyDescent="0.25">
      <c r="A223" s="46">
        <v>44538</v>
      </c>
      <c r="B223" s="47">
        <f>10/3</f>
        <v>3.3333333333333335</v>
      </c>
    </row>
    <row r="224" spans="1:2" x14ac:dyDescent="0.25">
      <c r="A224" s="46">
        <v>44552</v>
      </c>
      <c r="B224" s="47">
        <v>1</v>
      </c>
    </row>
    <row r="225" spans="1:2" x14ac:dyDescent="0.25">
      <c r="A225" s="46">
        <v>44565</v>
      </c>
      <c r="B225" s="47">
        <v>6</v>
      </c>
    </row>
    <row r="226" spans="1:2" x14ac:dyDescent="0.25">
      <c r="A226" s="46">
        <v>44566</v>
      </c>
      <c r="B226" s="47">
        <v>30</v>
      </c>
    </row>
    <row r="227" spans="1:2" x14ac:dyDescent="0.25">
      <c r="A227" s="46">
        <v>44573</v>
      </c>
      <c r="B227" s="47">
        <v>1</v>
      </c>
    </row>
    <row r="228" spans="1:2" x14ac:dyDescent="0.25">
      <c r="A228" s="46">
        <v>44580</v>
      </c>
      <c r="B228" s="47">
        <v>450</v>
      </c>
    </row>
    <row r="229" spans="1:2" x14ac:dyDescent="0.25">
      <c r="A229" s="46">
        <v>44587</v>
      </c>
      <c r="B229" s="47">
        <v>15</v>
      </c>
    </row>
    <row r="230" spans="1:2" x14ac:dyDescent="0.25">
      <c r="A230" s="46">
        <v>44594</v>
      </c>
      <c r="B230" s="47">
        <v>27</v>
      </c>
    </row>
    <row r="231" spans="1:2" x14ac:dyDescent="0.25">
      <c r="A231" s="46">
        <v>44594</v>
      </c>
      <c r="B231" s="47">
        <v>180</v>
      </c>
    </row>
    <row r="232" spans="1:2" x14ac:dyDescent="0.25">
      <c r="A232" s="46">
        <v>44623</v>
      </c>
      <c r="B232" s="47">
        <v>29</v>
      </c>
    </row>
    <row r="233" spans="1:2" x14ac:dyDescent="0.25">
      <c r="A233" s="46">
        <v>44635</v>
      </c>
      <c r="B233" s="47">
        <v>7</v>
      </c>
    </row>
    <row r="234" spans="1:2" x14ac:dyDescent="0.25">
      <c r="A234" s="46">
        <v>44636</v>
      </c>
      <c r="B234" s="47">
        <f>10/3</f>
        <v>3.3333333333333335</v>
      </c>
    </row>
    <row r="235" spans="1:2" x14ac:dyDescent="0.25">
      <c r="A235" s="46">
        <v>44645</v>
      </c>
      <c r="B235" s="47">
        <v>13</v>
      </c>
    </row>
    <row r="236" spans="1:2" x14ac:dyDescent="0.25">
      <c r="A236" s="46">
        <v>44651</v>
      </c>
      <c r="B236" s="47">
        <v>25</v>
      </c>
    </row>
    <row r="237" spans="1:2" x14ac:dyDescent="0.25">
      <c r="A237" s="46">
        <v>44664</v>
      </c>
      <c r="B237" s="47">
        <v>189</v>
      </c>
    </row>
    <row r="238" spans="1:2" x14ac:dyDescent="0.25">
      <c r="A238" s="46">
        <v>44679</v>
      </c>
      <c r="B238" s="47">
        <v>86</v>
      </c>
    </row>
    <row r="239" spans="1:2" x14ac:dyDescent="0.25">
      <c r="A239" s="46">
        <v>44692</v>
      </c>
      <c r="B239" s="47">
        <v>158</v>
      </c>
    </row>
    <row r="240" spans="1:2" x14ac:dyDescent="0.25">
      <c r="A240" s="46">
        <v>44706</v>
      </c>
      <c r="B240" s="47">
        <v>1</v>
      </c>
    </row>
    <row r="241" spans="1:2" x14ac:dyDescent="0.25">
      <c r="A241" s="46">
        <v>44720</v>
      </c>
      <c r="B241" s="47">
        <v>10</v>
      </c>
    </row>
    <row r="242" spans="1:2" x14ac:dyDescent="0.25">
      <c r="A242" s="46">
        <v>44734</v>
      </c>
      <c r="B242" s="51">
        <v>20</v>
      </c>
    </row>
    <row r="243" spans="1:2" x14ac:dyDescent="0.25">
      <c r="A243" s="46">
        <v>44748</v>
      </c>
      <c r="B243" s="51">
        <f>1/3</f>
        <v>0.33333333333333331</v>
      </c>
    </row>
    <row r="244" spans="1:2" x14ac:dyDescent="0.25">
      <c r="A244" s="46">
        <v>44792</v>
      </c>
      <c r="B244" s="51">
        <v>20</v>
      </c>
    </row>
    <row r="245" spans="1:2" x14ac:dyDescent="0.25">
      <c r="A245" s="46">
        <v>44804</v>
      </c>
      <c r="B245" s="51">
        <v>10</v>
      </c>
    </row>
    <row r="246" spans="1:2" x14ac:dyDescent="0.25">
      <c r="A246" s="46">
        <v>44818</v>
      </c>
      <c r="B246" s="51">
        <f>1/3</f>
        <v>0.33333333333333331</v>
      </c>
    </row>
    <row r="247" spans="1:2" x14ac:dyDescent="0.25">
      <c r="A247" s="46">
        <v>44894</v>
      </c>
      <c r="B247" s="51">
        <v>2</v>
      </c>
    </row>
    <row r="248" spans="1:2" x14ac:dyDescent="0.25">
      <c r="A248" s="46">
        <v>44909</v>
      </c>
      <c r="B248" s="51">
        <v>1</v>
      </c>
    </row>
    <row r="249" spans="1:2" x14ac:dyDescent="0.25">
      <c r="A249" s="46">
        <v>44915</v>
      </c>
      <c r="B249" s="51">
        <v>1</v>
      </c>
    </row>
    <row r="250" spans="1:2" x14ac:dyDescent="0.25">
      <c r="A250" s="46">
        <v>44930</v>
      </c>
      <c r="B250" s="51">
        <v>1</v>
      </c>
    </row>
    <row r="251" spans="1:2" x14ac:dyDescent="0.25">
      <c r="A251" s="46">
        <v>44932</v>
      </c>
      <c r="B251" s="47">
        <v>2</v>
      </c>
    </row>
    <row r="252" spans="1:2" x14ac:dyDescent="0.25">
      <c r="A252" s="46">
        <v>44936</v>
      </c>
      <c r="B252" s="51">
        <v>2</v>
      </c>
    </row>
    <row r="253" spans="1:2" x14ac:dyDescent="0.25">
      <c r="A253" s="46">
        <v>44944</v>
      </c>
      <c r="B253" s="47">
        <v>1986</v>
      </c>
    </row>
    <row r="254" spans="1:2" x14ac:dyDescent="0.25">
      <c r="A254" s="46">
        <v>44950</v>
      </c>
      <c r="B254" s="51">
        <v>11</v>
      </c>
    </row>
    <row r="255" spans="1:2" x14ac:dyDescent="0.25">
      <c r="A255" s="46">
        <v>44957</v>
      </c>
      <c r="B255" s="51">
        <v>1</v>
      </c>
    </row>
    <row r="256" spans="1:2" x14ac:dyDescent="0.25">
      <c r="A256" s="46">
        <v>44958</v>
      </c>
      <c r="B256" s="47">
        <v>10</v>
      </c>
    </row>
    <row r="257" spans="1:2" x14ac:dyDescent="0.25">
      <c r="A257" s="46">
        <v>44972</v>
      </c>
      <c r="B257" s="47">
        <v>56</v>
      </c>
    </row>
    <row r="258" spans="1:2" x14ac:dyDescent="0.25">
      <c r="A258" s="46">
        <v>44973</v>
      </c>
      <c r="B258" s="51">
        <v>26</v>
      </c>
    </row>
    <row r="259" spans="1:2" x14ac:dyDescent="0.25">
      <c r="A259" s="46">
        <v>45000</v>
      </c>
      <c r="B259" s="51">
        <v>276</v>
      </c>
    </row>
    <row r="260" spans="1:2" x14ac:dyDescent="0.25">
      <c r="A260" s="46">
        <v>45008</v>
      </c>
      <c r="B260" s="51">
        <v>408</v>
      </c>
    </row>
    <row r="261" spans="1:2" x14ac:dyDescent="0.25">
      <c r="A261" s="46">
        <v>45013</v>
      </c>
      <c r="B261" s="51">
        <v>11</v>
      </c>
    </row>
    <row r="262" spans="1:2" x14ac:dyDescent="0.25">
      <c r="A262" s="46">
        <v>45028</v>
      </c>
      <c r="B262" s="51">
        <v>105</v>
      </c>
    </row>
    <row r="263" spans="1:2" x14ac:dyDescent="0.25">
      <c r="A263" s="46">
        <v>45042</v>
      </c>
      <c r="B263" s="51">
        <v>205</v>
      </c>
    </row>
    <row r="264" spans="1:2" x14ac:dyDescent="0.25">
      <c r="A264" s="52">
        <v>45056</v>
      </c>
      <c r="B264" s="51">
        <v>96</v>
      </c>
    </row>
    <row r="265" spans="1:2" x14ac:dyDescent="0.25">
      <c r="A265" s="52">
        <v>45070</v>
      </c>
      <c r="B265" s="51">
        <v>387</v>
      </c>
    </row>
    <row r="266" spans="1:2" x14ac:dyDescent="0.25">
      <c r="A266" s="52">
        <v>45112</v>
      </c>
      <c r="B266" s="51">
        <v>165</v>
      </c>
    </row>
    <row r="267" spans="1:2" x14ac:dyDescent="0.25">
      <c r="A267" s="52">
        <v>45126</v>
      </c>
      <c r="B267" s="51">
        <v>15</v>
      </c>
    </row>
    <row r="268" spans="1:2" x14ac:dyDescent="0.25">
      <c r="A268" s="52">
        <v>45156</v>
      </c>
      <c r="B268" s="51">
        <f>1/3</f>
        <v>0.33333333333333331</v>
      </c>
    </row>
    <row r="269" spans="1:2" x14ac:dyDescent="0.25">
      <c r="A269" s="46">
        <v>45168</v>
      </c>
      <c r="B269" s="47">
        <v>25</v>
      </c>
    </row>
    <row r="270" spans="1:2" x14ac:dyDescent="0.25">
      <c r="A270" s="46">
        <v>45182</v>
      </c>
      <c r="B270" s="47">
        <v>6</v>
      </c>
    </row>
    <row r="271" spans="1:2" x14ac:dyDescent="0.25">
      <c r="A271" s="46">
        <v>45196</v>
      </c>
      <c r="B271" s="47">
        <v>33</v>
      </c>
    </row>
    <row r="272" spans="1:2" x14ac:dyDescent="0.25">
      <c r="A272" s="46">
        <v>45210</v>
      </c>
      <c r="B272" s="47">
        <v>157</v>
      </c>
    </row>
    <row r="273" spans="1:2" x14ac:dyDescent="0.25">
      <c r="A273" s="46">
        <v>45224</v>
      </c>
      <c r="B273" s="47">
        <v>330</v>
      </c>
    </row>
    <row r="274" spans="1:2" x14ac:dyDescent="0.25">
      <c r="A274" s="46">
        <v>45238</v>
      </c>
      <c r="B274" s="47">
        <v>25</v>
      </c>
    </row>
    <row r="275" spans="1:2" x14ac:dyDescent="0.25">
      <c r="A275" s="46">
        <v>45252</v>
      </c>
      <c r="B275" s="47">
        <v>4</v>
      </c>
    </row>
    <row r="276" spans="1:2" x14ac:dyDescent="0.25">
      <c r="A276" s="46">
        <v>45308</v>
      </c>
      <c r="B276" s="47">
        <v>146</v>
      </c>
    </row>
    <row r="277" spans="1:2" x14ac:dyDescent="0.25">
      <c r="A277" s="46">
        <v>45314</v>
      </c>
      <c r="B277" s="47">
        <v>1</v>
      </c>
    </row>
    <row r="278" spans="1:2" x14ac:dyDescent="0.25">
      <c r="A278" s="46">
        <v>45322</v>
      </c>
      <c r="B278" s="47">
        <f>10/3</f>
        <v>3.3333333333333335</v>
      </c>
    </row>
    <row r="279" spans="1:2" x14ac:dyDescent="0.25">
      <c r="A279" s="46">
        <v>45336</v>
      </c>
      <c r="B279" s="47">
        <v>10</v>
      </c>
    </row>
    <row r="280" spans="1:2" x14ac:dyDescent="0.25">
      <c r="A280" s="46">
        <v>45342</v>
      </c>
      <c r="B280" s="47">
        <v>1</v>
      </c>
    </row>
    <row r="281" spans="1:2" x14ac:dyDescent="0.25">
      <c r="A281" s="46">
        <v>45356</v>
      </c>
      <c r="B281" s="47">
        <v>25</v>
      </c>
    </row>
    <row r="282" spans="1:2" x14ac:dyDescent="0.25">
      <c r="A282" s="46">
        <v>45364</v>
      </c>
      <c r="B282" s="47">
        <v>17</v>
      </c>
    </row>
    <row r="283" spans="1:2" x14ac:dyDescent="0.25">
      <c r="A283" s="46">
        <v>45369</v>
      </c>
      <c r="B283" s="47">
        <v>6</v>
      </c>
    </row>
    <row r="284" spans="1:2" x14ac:dyDescent="0.25">
      <c r="A284" s="46">
        <v>45370</v>
      </c>
      <c r="B284" s="47">
        <f>1/3</f>
        <v>0.33333333333333331</v>
      </c>
    </row>
    <row r="285" spans="1:2" x14ac:dyDescent="0.25">
      <c r="A285" s="46">
        <v>45378</v>
      </c>
      <c r="B285" s="47">
        <v>2</v>
      </c>
    </row>
  </sheetData>
  <sortState ref="A2:B28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65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4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31"/>
  <sheetViews>
    <sheetView workbookViewId="0">
      <pane ySplit="1" topLeftCell="A423" activePane="bottomLeft" state="frozen"/>
      <selection pane="bottomLeft" activeCell="B432" sqref="B432"/>
    </sheetView>
  </sheetViews>
  <sheetFormatPr defaultRowHeight="15" x14ac:dyDescent="0.25"/>
  <cols>
    <col min="1" max="1" width="30.42578125" style="48" customWidth="1"/>
    <col min="2" max="2" width="12" style="47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62" t="s">
        <v>0</v>
      </c>
      <c r="B1" s="41" t="s">
        <v>2</v>
      </c>
    </row>
    <row r="2" spans="1:7" x14ac:dyDescent="0.25">
      <c r="A2" s="54">
        <v>41641.361805555556</v>
      </c>
      <c r="B2" s="51">
        <v>4</v>
      </c>
      <c r="E2" s="42"/>
      <c r="F2" s="43"/>
      <c r="G2" s="44"/>
    </row>
    <row r="3" spans="1:7" x14ac:dyDescent="0.25">
      <c r="A3" s="54">
        <v>41654.416666666664</v>
      </c>
      <c r="B3" s="51">
        <v>16</v>
      </c>
      <c r="E3" s="42"/>
      <c r="F3" s="43"/>
      <c r="G3" s="44"/>
    </row>
    <row r="4" spans="1:7" x14ac:dyDescent="0.25">
      <c r="A4" s="54">
        <v>41667</v>
      </c>
      <c r="B4" s="51">
        <v>4</v>
      </c>
      <c r="E4" s="42"/>
      <c r="F4" s="43"/>
      <c r="G4" s="44"/>
    </row>
    <row r="5" spans="1:7" x14ac:dyDescent="0.25">
      <c r="A5" s="54">
        <v>41668.405555555553</v>
      </c>
      <c r="B5" s="51">
        <v>16</v>
      </c>
      <c r="E5" s="42"/>
      <c r="F5" s="43"/>
      <c r="G5" s="44"/>
    </row>
    <row r="6" spans="1:7" x14ac:dyDescent="0.25">
      <c r="A6" s="54">
        <v>41682.401388888888</v>
      </c>
      <c r="B6" s="51">
        <v>48</v>
      </c>
      <c r="E6" s="42"/>
      <c r="F6" s="43"/>
      <c r="G6" s="44"/>
    </row>
    <row r="7" spans="1:7" x14ac:dyDescent="0.25">
      <c r="A7" s="54">
        <v>41696.405555555553</v>
      </c>
      <c r="B7" s="51">
        <v>24</v>
      </c>
      <c r="E7" s="42"/>
      <c r="F7" s="43"/>
      <c r="G7" s="44"/>
    </row>
    <row r="8" spans="1:7" x14ac:dyDescent="0.25">
      <c r="A8" s="54">
        <v>41710.390277777777</v>
      </c>
      <c r="B8" s="51">
        <v>1</v>
      </c>
      <c r="E8" s="42"/>
      <c r="F8" s="43"/>
      <c r="G8" s="44"/>
    </row>
    <row r="9" spans="1:7" x14ac:dyDescent="0.25">
      <c r="A9" s="54">
        <v>41724.450694444444</v>
      </c>
      <c r="B9" s="51">
        <v>150</v>
      </c>
      <c r="E9" s="42"/>
      <c r="F9" s="43"/>
      <c r="G9" s="44"/>
    </row>
    <row r="10" spans="1:7" x14ac:dyDescent="0.25">
      <c r="A10" s="54">
        <v>41738.395138888889</v>
      </c>
      <c r="B10" s="51">
        <v>26</v>
      </c>
      <c r="E10" s="42"/>
      <c r="F10" s="43"/>
      <c r="G10" s="44"/>
    </row>
    <row r="11" spans="1:7" x14ac:dyDescent="0.25">
      <c r="A11" s="54">
        <v>41752.417361111111</v>
      </c>
      <c r="B11" s="51">
        <v>8</v>
      </c>
      <c r="E11" s="42"/>
      <c r="F11" s="43"/>
      <c r="G11" s="44"/>
    </row>
    <row r="12" spans="1:7" x14ac:dyDescent="0.25">
      <c r="A12" s="54">
        <v>41767.401388888888</v>
      </c>
      <c r="B12" s="51">
        <v>12</v>
      </c>
      <c r="E12" s="42"/>
      <c r="F12" s="43"/>
      <c r="G12" s="44"/>
    </row>
    <row r="13" spans="1:7" x14ac:dyDescent="0.25">
      <c r="A13" s="54">
        <v>41780.423611111109</v>
      </c>
      <c r="B13" s="51">
        <v>18</v>
      </c>
      <c r="E13" s="42"/>
      <c r="F13" s="43"/>
      <c r="G13" s="44"/>
    </row>
    <row r="14" spans="1:7" x14ac:dyDescent="0.25">
      <c r="A14" s="54">
        <v>41794.399305555555</v>
      </c>
      <c r="B14" s="51">
        <v>78</v>
      </c>
      <c r="E14" s="42"/>
      <c r="F14" s="43"/>
      <c r="G14" s="44"/>
    </row>
    <row r="15" spans="1:7" x14ac:dyDescent="0.25">
      <c r="A15" s="54">
        <v>41808.421527777777</v>
      </c>
      <c r="B15" s="51">
        <v>3</v>
      </c>
      <c r="E15" s="42"/>
      <c r="F15" s="43"/>
      <c r="G15" s="44"/>
    </row>
    <row r="16" spans="1:7" x14ac:dyDescent="0.25">
      <c r="A16" s="54">
        <v>41822.386111111111</v>
      </c>
      <c r="B16" s="51">
        <v>10</v>
      </c>
      <c r="E16" s="42"/>
      <c r="F16" s="43"/>
      <c r="G16" s="44"/>
    </row>
    <row r="17" spans="1:7" x14ac:dyDescent="0.25">
      <c r="A17" s="54">
        <v>41836.424305555556</v>
      </c>
      <c r="B17" s="51">
        <v>0.33333333300000001</v>
      </c>
      <c r="E17" s="42"/>
      <c r="F17" s="43"/>
      <c r="G17" s="44"/>
    </row>
    <row r="18" spans="1:7" x14ac:dyDescent="0.25">
      <c r="A18" s="54">
        <v>41850.405555555553</v>
      </c>
      <c r="B18" s="51">
        <v>13</v>
      </c>
      <c r="E18" s="42"/>
      <c r="F18" s="43"/>
      <c r="G18" s="44"/>
    </row>
    <row r="19" spans="1:7" x14ac:dyDescent="0.25">
      <c r="A19" s="54">
        <v>41864.384722222225</v>
      </c>
      <c r="B19" s="51">
        <v>7</v>
      </c>
      <c r="E19" s="42"/>
      <c r="F19" s="43"/>
      <c r="G19" s="44"/>
    </row>
    <row r="20" spans="1:7" x14ac:dyDescent="0.25">
      <c r="A20" s="54">
        <v>41878.399305555555</v>
      </c>
      <c r="B20" s="51">
        <v>44</v>
      </c>
      <c r="E20" s="42"/>
      <c r="F20" s="43"/>
      <c r="G20" s="44"/>
    </row>
    <row r="21" spans="1:7" x14ac:dyDescent="0.25">
      <c r="A21" s="54">
        <v>41892.363194444442</v>
      </c>
      <c r="B21" s="51">
        <v>8</v>
      </c>
      <c r="E21" s="42"/>
      <c r="F21" s="43"/>
      <c r="G21" s="44"/>
    </row>
    <row r="22" spans="1:7" x14ac:dyDescent="0.25">
      <c r="A22" s="54">
        <v>41907.398611111108</v>
      </c>
      <c r="B22" s="51">
        <v>16</v>
      </c>
      <c r="E22" s="42"/>
      <c r="F22" s="43"/>
      <c r="G22" s="44"/>
    </row>
    <row r="23" spans="1:7" x14ac:dyDescent="0.25">
      <c r="A23" s="54">
        <v>41920.393055555556</v>
      </c>
      <c r="B23" s="51">
        <v>2</v>
      </c>
      <c r="E23" s="42"/>
      <c r="F23" s="43"/>
      <c r="G23" s="44"/>
    </row>
    <row r="24" spans="1:7" x14ac:dyDescent="0.25">
      <c r="A24" s="54">
        <v>41934.393750000003</v>
      </c>
      <c r="B24" s="51">
        <v>13</v>
      </c>
      <c r="E24" s="42"/>
      <c r="F24" s="43"/>
      <c r="G24" s="44"/>
    </row>
    <row r="25" spans="1:7" x14ac:dyDescent="0.25">
      <c r="A25" s="54">
        <v>41948.39166666667</v>
      </c>
      <c r="B25" s="51">
        <v>87</v>
      </c>
      <c r="E25" s="42"/>
      <c r="F25" s="43"/>
      <c r="G25" s="44"/>
    </row>
    <row r="26" spans="1:7" x14ac:dyDescent="0.25">
      <c r="A26" s="54">
        <v>41962.454861111109</v>
      </c>
      <c r="B26" s="51">
        <v>59</v>
      </c>
      <c r="E26" s="42"/>
      <c r="F26" s="43"/>
      <c r="G26" s="44"/>
    </row>
    <row r="27" spans="1:7" x14ac:dyDescent="0.25">
      <c r="A27" s="54">
        <v>41976.397916666669</v>
      </c>
      <c r="B27" s="51">
        <v>26</v>
      </c>
      <c r="E27" s="42"/>
      <c r="F27" s="43"/>
      <c r="G27" s="44"/>
    </row>
    <row r="28" spans="1:7" x14ac:dyDescent="0.25">
      <c r="A28" s="54">
        <v>41990.40902777778</v>
      </c>
      <c r="B28" s="51">
        <v>10</v>
      </c>
      <c r="E28" s="42"/>
      <c r="F28" s="43"/>
      <c r="G28" s="44"/>
    </row>
    <row r="29" spans="1:7" x14ac:dyDescent="0.25">
      <c r="A29" s="54">
        <v>42003.400694444441</v>
      </c>
      <c r="B29" s="51">
        <v>40</v>
      </c>
      <c r="E29" s="42"/>
      <c r="F29" s="43"/>
      <c r="G29" s="44"/>
    </row>
    <row r="30" spans="1:7" x14ac:dyDescent="0.25">
      <c r="A30" s="54">
        <v>42018.379166666666</v>
      </c>
      <c r="B30" s="51">
        <v>12</v>
      </c>
      <c r="E30" s="42"/>
      <c r="F30" s="43"/>
      <c r="G30" s="44"/>
    </row>
    <row r="31" spans="1:7" x14ac:dyDescent="0.25">
      <c r="A31" s="54">
        <v>42032.438194444447</v>
      </c>
      <c r="B31" s="51">
        <v>10</v>
      </c>
      <c r="E31" s="42"/>
      <c r="F31" s="43"/>
      <c r="G31" s="44"/>
    </row>
    <row r="32" spans="1:7" x14ac:dyDescent="0.25">
      <c r="A32" s="54">
        <v>42046.388194444444</v>
      </c>
      <c r="B32" s="51">
        <v>1</v>
      </c>
      <c r="E32" s="42"/>
      <c r="F32" s="43"/>
      <c r="G32" s="44"/>
    </row>
    <row r="33" spans="1:7" x14ac:dyDescent="0.25">
      <c r="A33" s="54">
        <v>42060</v>
      </c>
      <c r="B33" s="51">
        <v>10</v>
      </c>
      <c r="E33" s="42"/>
      <c r="F33" s="43"/>
      <c r="G33" s="44"/>
    </row>
    <row r="34" spans="1:7" x14ac:dyDescent="0.25">
      <c r="A34" s="54">
        <v>42074.410416666666</v>
      </c>
      <c r="B34" s="51">
        <v>3</v>
      </c>
      <c r="E34" s="42"/>
      <c r="F34" s="43"/>
      <c r="G34" s="44"/>
    </row>
    <row r="35" spans="1:7" x14ac:dyDescent="0.25">
      <c r="A35" s="54">
        <v>42088</v>
      </c>
      <c r="B35" s="51">
        <v>6</v>
      </c>
      <c r="E35" s="42"/>
      <c r="F35" s="43"/>
      <c r="G35" s="44"/>
    </row>
    <row r="36" spans="1:7" x14ac:dyDescent="0.25">
      <c r="A36" s="54">
        <v>42102</v>
      </c>
      <c r="B36" s="51">
        <v>4</v>
      </c>
      <c r="E36" s="42"/>
      <c r="F36" s="43"/>
      <c r="G36" s="44"/>
    </row>
    <row r="37" spans="1:7" x14ac:dyDescent="0.25">
      <c r="A37" s="54">
        <v>42116</v>
      </c>
      <c r="B37" s="51">
        <v>2</v>
      </c>
      <c r="E37" s="42"/>
      <c r="F37" s="43"/>
      <c r="G37" s="44"/>
    </row>
    <row r="38" spans="1:7" x14ac:dyDescent="0.25">
      <c r="A38" s="54">
        <v>42130</v>
      </c>
      <c r="B38" s="51">
        <v>28</v>
      </c>
      <c r="E38" s="42"/>
      <c r="F38" s="43"/>
      <c r="G38" s="44"/>
    </row>
    <row r="39" spans="1:7" x14ac:dyDescent="0.25">
      <c r="A39" s="54">
        <v>42144</v>
      </c>
      <c r="B39" s="51">
        <v>3</v>
      </c>
      <c r="E39" s="42"/>
      <c r="F39" s="43"/>
      <c r="G39" s="44"/>
    </row>
    <row r="40" spans="1:7" x14ac:dyDescent="0.25">
      <c r="A40" s="54">
        <v>42158</v>
      </c>
      <c r="B40" s="55">
        <v>21</v>
      </c>
      <c r="E40" s="42"/>
      <c r="F40" s="43"/>
      <c r="G40" s="44"/>
    </row>
    <row r="41" spans="1:7" x14ac:dyDescent="0.25">
      <c r="A41" s="54">
        <v>42158</v>
      </c>
      <c r="B41" s="51">
        <v>200</v>
      </c>
      <c r="E41" s="42"/>
      <c r="F41" s="43"/>
      <c r="G41" s="44"/>
    </row>
    <row r="42" spans="1:7" x14ac:dyDescent="0.25">
      <c r="A42" s="54">
        <v>42172</v>
      </c>
      <c r="B42" s="51">
        <v>28</v>
      </c>
      <c r="E42" s="42"/>
      <c r="F42" s="43"/>
      <c r="G42" s="44"/>
    </row>
    <row r="43" spans="1:7" x14ac:dyDescent="0.25">
      <c r="A43" s="54">
        <v>42186</v>
      </c>
      <c r="B43" s="51">
        <v>5</v>
      </c>
      <c r="E43" s="42"/>
      <c r="F43" s="43"/>
      <c r="G43" s="44"/>
    </row>
    <row r="44" spans="1:7" x14ac:dyDescent="0.25">
      <c r="A44" s="54">
        <v>42200</v>
      </c>
      <c r="B44" s="55">
        <v>32</v>
      </c>
      <c r="E44" s="42"/>
      <c r="F44" s="43"/>
      <c r="G44" s="44"/>
    </row>
    <row r="45" spans="1:7" x14ac:dyDescent="0.25">
      <c r="A45" s="54">
        <v>42200</v>
      </c>
      <c r="B45" s="51">
        <v>4</v>
      </c>
      <c r="E45" s="42"/>
      <c r="F45" s="43"/>
      <c r="G45" s="44"/>
    </row>
    <row r="46" spans="1:7" x14ac:dyDescent="0.25">
      <c r="A46" s="54">
        <v>42214</v>
      </c>
      <c r="B46" s="51">
        <v>44</v>
      </c>
      <c r="E46" s="42"/>
      <c r="F46" s="43"/>
      <c r="G46" s="44"/>
    </row>
    <row r="47" spans="1:7" x14ac:dyDescent="0.25">
      <c r="A47" s="54">
        <v>42228</v>
      </c>
      <c r="B47" s="51">
        <v>5</v>
      </c>
      <c r="E47" s="42"/>
      <c r="F47" s="43"/>
      <c r="G47" s="44"/>
    </row>
    <row r="48" spans="1:7" x14ac:dyDescent="0.25">
      <c r="A48" s="54">
        <v>42242</v>
      </c>
      <c r="B48" s="51">
        <v>69</v>
      </c>
      <c r="E48" s="42"/>
      <c r="F48" s="43"/>
      <c r="G48" s="44"/>
    </row>
    <row r="49" spans="1:7" x14ac:dyDescent="0.25">
      <c r="A49" s="54">
        <v>42256</v>
      </c>
      <c r="B49" s="56">
        <v>16</v>
      </c>
      <c r="E49" s="42"/>
      <c r="F49" s="43"/>
      <c r="G49" s="44"/>
    </row>
    <row r="50" spans="1:7" x14ac:dyDescent="0.25">
      <c r="A50" s="54">
        <v>42256</v>
      </c>
      <c r="B50" s="51">
        <v>15000</v>
      </c>
      <c r="E50" s="42"/>
      <c r="F50" s="43"/>
      <c r="G50" s="44"/>
    </row>
    <row r="51" spans="1:7" x14ac:dyDescent="0.25">
      <c r="A51" s="54">
        <v>42270</v>
      </c>
      <c r="B51" s="51">
        <v>18</v>
      </c>
      <c r="E51" s="42"/>
      <c r="F51" s="43"/>
      <c r="G51" s="44"/>
    </row>
    <row r="52" spans="1:7" x14ac:dyDescent="0.25">
      <c r="A52" s="54">
        <v>42284</v>
      </c>
      <c r="B52" s="51">
        <v>31</v>
      </c>
      <c r="E52" s="42"/>
      <c r="F52" s="43"/>
      <c r="G52" s="44"/>
    </row>
    <row r="53" spans="1:7" x14ac:dyDescent="0.25">
      <c r="A53" s="54">
        <v>42298</v>
      </c>
      <c r="B53" s="51">
        <v>10</v>
      </c>
      <c r="E53" s="42"/>
      <c r="F53" s="43"/>
      <c r="G53" s="44"/>
    </row>
    <row r="54" spans="1:7" x14ac:dyDescent="0.25">
      <c r="A54" s="54">
        <v>42312</v>
      </c>
      <c r="B54" s="51">
        <v>9</v>
      </c>
      <c r="E54" s="42"/>
      <c r="F54" s="43"/>
      <c r="G54" s="44"/>
    </row>
    <row r="55" spans="1:7" x14ac:dyDescent="0.25">
      <c r="A55" s="54">
        <v>42326</v>
      </c>
      <c r="B55" s="51">
        <v>72</v>
      </c>
      <c r="E55" s="42"/>
      <c r="F55" s="43"/>
      <c r="G55" s="44"/>
    </row>
    <row r="56" spans="1:7" x14ac:dyDescent="0.25">
      <c r="A56" s="54">
        <v>42340</v>
      </c>
      <c r="B56" s="51">
        <v>76</v>
      </c>
      <c r="E56" s="42"/>
      <c r="F56" s="43"/>
      <c r="G56" s="44"/>
    </row>
    <row r="57" spans="1:7" x14ac:dyDescent="0.25">
      <c r="A57" s="54">
        <v>42353</v>
      </c>
      <c r="B57" s="51">
        <v>16</v>
      </c>
      <c r="E57" s="42"/>
      <c r="F57" s="43"/>
      <c r="G57" s="44"/>
    </row>
    <row r="58" spans="1:7" x14ac:dyDescent="0.25">
      <c r="A58" s="54">
        <v>42368</v>
      </c>
      <c r="B58" s="51">
        <v>34</v>
      </c>
      <c r="E58" s="42"/>
      <c r="F58" s="43"/>
      <c r="G58" s="44"/>
    </row>
    <row r="59" spans="1:7" x14ac:dyDescent="0.25">
      <c r="A59" s="54">
        <v>42382</v>
      </c>
      <c r="B59" s="51">
        <v>19</v>
      </c>
      <c r="E59" s="42"/>
      <c r="F59" s="43"/>
      <c r="G59" s="44"/>
    </row>
    <row r="60" spans="1:7" x14ac:dyDescent="0.25">
      <c r="A60" s="54">
        <v>42396</v>
      </c>
      <c r="B60" s="51">
        <v>900</v>
      </c>
      <c r="E60" s="42"/>
      <c r="F60" s="43"/>
      <c r="G60" s="44"/>
    </row>
    <row r="61" spans="1:7" x14ac:dyDescent="0.25">
      <c r="A61" s="54">
        <v>42410</v>
      </c>
      <c r="B61" s="51">
        <v>2200</v>
      </c>
      <c r="E61" s="42"/>
      <c r="F61" s="43"/>
      <c r="G61" s="44"/>
    </row>
    <row r="62" spans="1:7" x14ac:dyDescent="0.25">
      <c r="A62" s="54">
        <v>42424</v>
      </c>
      <c r="B62" s="57">
        <v>5</v>
      </c>
      <c r="E62" s="42"/>
      <c r="F62" s="43"/>
      <c r="G62" s="44"/>
    </row>
    <row r="63" spans="1:7" x14ac:dyDescent="0.25">
      <c r="A63" s="54">
        <v>42424</v>
      </c>
      <c r="B63" s="51">
        <v>7</v>
      </c>
      <c r="E63" s="42"/>
      <c r="F63" s="43"/>
      <c r="G63" s="44"/>
    </row>
    <row r="64" spans="1:7" x14ac:dyDescent="0.25">
      <c r="A64" s="54">
        <v>42438</v>
      </c>
      <c r="B64" s="57">
        <v>2</v>
      </c>
      <c r="E64" s="42"/>
      <c r="F64" s="43"/>
      <c r="G64" s="44"/>
    </row>
    <row r="65" spans="1:7" x14ac:dyDescent="0.25">
      <c r="A65" s="54">
        <v>42438</v>
      </c>
      <c r="B65" s="51">
        <v>14</v>
      </c>
      <c r="E65" s="42"/>
      <c r="F65" s="43"/>
      <c r="G65" s="44"/>
    </row>
    <row r="66" spans="1:7" x14ac:dyDescent="0.25">
      <c r="A66" s="54">
        <v>42451</v>
      </c>
      <c r="B66" s="51">
        <v>3</v>
      </c>
      <c r="E66" s="42"/>
      <c r="F66" s="43"/>
      <c r="G66" s="44"/>
    </row>
    <row r="67" spans="1:7" x14ac:dyDescent="0.25">
      <c r="A67" s="54">
        <v>42452</v>
      </c>
      <c r="B67" s="57">
        <v>50</v>
      </c>
      <c r="E67" s="42"/>
      <c r="F67" s="43"/>
      <c r="G67" s="44"/>
    </row>
    <row r="68" spans="1:7" x14ac:dyDescent="0.25">
      <c r="A68" s="54">
        <v>42466</v>
      </c>
      <c r="B68" s="57">
        <v>21</v>
      </c>
      <c r="E68" s="42"/>
      <c r="F68" s="43"/>
      <c r="G68" s="44"/>
    </row>
    <row r="69" spans="1:7" x14ac:dyDescent="0.25">
      <c r="A69" s="54">
        <v>42466</v>
      </c>
      <c r="B69" s="51">
        <v>2</v>
      </c>
      <c r="E69" s="42"/>
      <c r="F69" s="43"/>
      <c r="G69" s="44"/>
    </row>
    <row r="70" spans="1:7" x14ac:dyDescent="0.25">
      <c r="A70" s="54">
        <v>42480</v>
      </c>
      <c r="B70" s="58">
        <v>30</v>
      </c>
      <c r="E70" s="42"/>
      <c r="F70" s="43"/>
      <c r="G70" s="44"/>
    </row>
    <row r="71" spans="1:7" x14ac:dyDescent="0.25">
      <c r="A71" s="54">
        <v>42480</v>
      </c>
      <c r="B71" s="51">
        <v>16</v>
      </c>
      <c r="E71" s="42"/>
      <c r="F71" s="43"/>
      <c r="G71" s="44"/>
    </row>
    <row r="72" spans="1:7" x14ac:dyDescent="0.25">
      <c r="A72" s="54">
        <v>42494</v>
      </c>
      <c r="B72" s="57">
        <v>2</v>
      </c>
      <c r="E72" s="42"/>
      <c r="F72" s="43"/>
      <c r="G72" s="44"/>
    </row>
    <row r="73" spans="1:7" x14ac:dyDescent="0.25">
      <c r="A73" s="54">
        <v>42494</v>
      </c>
      <c r="B73" s="51">
        <v>22</v>
      </c>
      <c r="E73" s="42"/>
      <c r="F73" s="43"/>
      <c r="G73" s="44"/>
    </row>
    <row r="74" spans="1:7" x14ac:dyDescent="0.25">
      <c r="A74" s="54">
        <v>42508</v>
      </c>
      <c r="B74" s="57">
        <v>4</v>
      </c>
      <c r="E74" s="42"/>
      <c r="F74" s="43"/>
      <c r="G74" s="44"/>
    </row>
    <row r="75" spans="1:7" x14ac:dyDescent="0.25">
      <c r="A75" s="54">
        <v>42508</v>
      </c>
      <c r="B75" s="51">
        <v>30</v>
      </c>
      <c r="E75" s="42"/>
      <c r="F75" s="43"/>
      <c r="G75" s="44"/>
    </row>
    <row r="76" spans="1:7" x14ac:dyDescent="0.25">
      <c r="A76" s="54">
        <v>42522</v>
      </c>
      <c r="B76" s="57">
        <v>4</v>
      </c>
      <c r="E76" s="42"/>
      <c r="F76" s="43"/>
      <c r="G76" s="44"/>
    </row>
    <row r="77" spans="1:7" x14ac:dyDescent="0.25">
      <c r="A77" s="54">
        <v>42522</v>
      </c>
      <c r="B77" s="51">
        <v>62</v>
      </c>
      <c r="E77" s="42"/>
      <c r="F77" s="43"/>
      <c r="G77" s="44"/>
    </row>
    <row r="78" spans="1:7" x14ac:dyDescent="0.25">
      <c r="A78" s="54">
        <v>42536</v>
      </c>
      <c r="B78" s="58">
        <v>1</v>
      </c>
      <c r="E78" s="42"/>
      <c r="F78" s="43"/>
      <c r="G78" s="44"/>
    </row>
    <row r="79" spans="1:7" x14ac:dyDescent="0.25">
      <c r="A79" s="54">
        <v>42536</v>
      </c>
      <c r="B79" s="51">
        <v>87</v>
      </c>
      <c r="E79" s="42"/>
      <c r="F79" s="43"/>
      <c r="G79" s="44"/>
    </row>
    <row r="80" spans="1:7" x14ac:dyDescent="0.25">
      <c r="A80" s="54">
        <v>42550</v>
      </c>
      <c r="B80" s="57">
        <v>2</v>
      </c>
      <c r="E80" s="42"/>
      <c r="F80" s="43"/>
      <c r="G80" s="44"/>
    </row>
    <row r="81" spans="1:7" x14ac:dyDescent="0.25">
      <c r="A81" s="54">
        <v>42550</v>
      </c>
      <c r="B81" s="51">
        <v>30</v>
      </c>
      <c r="E81" s="42"/>
      <c r="F81" s="43"/>
      <c r="G81" s="44"/>
    </row>
    <row r="82" spans="1:7" x14ac:dyDescent="0.25">
      <c r="A82" s="54">
        <v>42564</v>
      </c>
      <c r="B82" s="58">
        <v>5</v>
      </c>
      <c r="E82" s="42"/>
      <c r="F82" s="43"/>
      <c r="G82" s="44"/>
    </row>
    <row r="83" spans="1:7" x14ac:dyDescent="0.25">
      <c r="A83" s="54">
        <v>42564</v>
      </c>
      <c r="B83" s="51">
        <v>8</v>
      </c>
      <c r="E83" s="42"/>
      <c r="F83" s="43"/>
      <c r="G83" s="44"/>
    </row>
    <row r="84" spans="1:7" x14ac:dyDescent="0.25">
      <c r="A84" s="54">
        <v>42578</v>
      </c>
      <c r="B84" s="57">
        <v>24</v>
      </c>
      <c r="E84" s="42"/>
      <c r="F84" s="43"/>
      <c r="G84" s="44"/>
    </row>
    <row r="85" spans="1:7" x14ac:dyDescent="0.25">
      <c r="A85" s="54">
        <v>42578</v>
      </c>
      <c r="B85" s="51">
        <v>550</v>
      </c>
      <c r="E85" s="42"/>
      <c r="F85" s="43"/>
      <c r="G85" s="44"/>
    </row>
    <row r="86" spans="1:7" x14ac:dyDescent="0.25">
      <c r="A86" s="54">
        <v>42592</v>
      </c>
      <c r="B86" s="58">
        <v>27</v>
      </c>
      <c r="E86" s="42"/>
      <c r="F86" s="43"/>
      <c r="G86" s="44"/>
    </row>
    <row r="87" spans="1:7" x14ac:dyDescent="0.25">
      <c r="A87" s="54">
        <v>42592</v>
      </c>
      <c r="B87" s="51">
        <v>200</v>
      </c>
      <c r="E87" s="42"/>
      <c r="F87" s="43"/>
      <c r="G87" s="44"/>
    </row>
    <row r="88" spans="1:7" x14ac:dyDescent="0.25">
      <c r="A88" s="54">
        <v>42606</v>
      </c>
      <c r="B88" s="58">
        <v>3</v>
      </c>
      <c r="E88" s="42"/>
      <c r="F88" s="43"/>
      <c r="G88" s="44"/>
    </row>
    <row r="89" spans="1:7" x14ac:dyDescent="0.25">
      <c r="A89" s="54">
        <v>42606</v>
      </c>
      <c r="B89" s="51">
        <v>51</v>
      </c>
      <c r="E89" s="42"/>
      <c r="F89" s="43"/>
      <c r="G89" s="44"/>
    </row>
    <row r="90" spans="1:7" x14ac:dyDescent="0.25">
      <c r="A90" s="54">
        <v>42620</v>
      </c>
      <c r="B90" s="58">
        <v>1</v>
      </c>
      <c r="E90" s="42"/>
      <c r="F90" s="43"/>
      <c r="G90" s="44"/>
    </row>
    <row r="91" spans="1:7" x14ac:dyDescent="0.25">
      <c r="A91" s="54">
        <v>42620</v>
      </c>
      <c r="B91" s="51">
        <v>17</v>
      </c>
      <c r="E91" s="42"/>
      <c r="F91" s="43"/>
      <c r="G91" s="44"/>
    </row>
    <row r="92" spans="1:7" x14ac:dyDescent="0.25">
      <c r="A92" s="54">
        <v>42634</v>
      </c>
      <c r="B92" s="57">
        <v>1</v>
      </c>
      <c r="E92" s="42"/>
      <c r="F92" s="43"/>
      <c r="G92" s="44"/>
    </row>
    <row r="93" spans="1:7" x14ac:dyDescent="0.25">
      <c r="A93" s="54">
        <v>42634</v>
      </c>
      <c r="B93" s="51">
        <v>49</v>
      </c>
      <c r="E93" s="42"/>
      <c r="F93" s="43"/>
      <c r="G93" s="44"/>
    </row>
    <row r="94" spans="1:7" x14ac:dyDescent="0.25">
      <c r="A94" s="54">
        <v>42648</v>
      </c>
      <c r="B94" s="51">
        <v>0.33333333300000001</v>
      </c>
      <c r="E94" s="42"/>
      <c r="F94" s="43"/>
      <c r="G94" s="44"/>
    </row>
    <row r="95" spans="1:7" x14ac:dyDescent="0.25">
      <c r="A95" s="54">
        <v>42662</v>
      </c>
      <c r="B95" s="51">
        <v>21</v>
      </c>
      <c r="E95" s="42"/>
      <c r="F95" s="43"/>
      <c r="G95" s="44"/>
    </row>
    <row r="96" spans="1:7" x14ac:dyDescent="0.25">
      <c r="A96" s="54">
        <v>42676</v>
      </c>
      <c r="B96" s="51">
        <v>0.33333333300000001</v>
      </c>
      <c r="E96" s="42"/>
      <c r="F96" s="43"/>
      <c r="G96" s="44"/>
    </row>
    <row r="97" spans="1:7" x14ac:dyDescent="0.25">
      <c r="A97" s="54">
        <v>42690</v>
      </c>
      <c r="B97" s="51">
        <v>82</v>
      </c>
      <c r="E97" s="42"/>
      <c r="F97" s="43"/>
      <c r="G97" s="44"/>
    </row>
    <row r="98" spans="1:7" x14ac:dyDescent="0.25">
      <c r="A98" s="54">
        <v>42704</v>
      </c>
      <c r="B98" s="51">
        <v>2</v>
      </c>
      <c r="E98" s="42"/>
      <c r="F98" s="43"/>
      <c r="G98" s="44"/>
    </row>
    <row r="99" spans="1:7" x14ac:dyDescent="0.25">
      <c r="A99" s="54">
        <v>42712</v>
      </c>
      <c r="B99" s="51">
        <v>0.33333333300000001</v>
      </c>
      <c r="E99" s="42"/>
      <c r="F99" s="43"/>
      <c r="G99" s="44"/>
    </row>
    <row r="100" spans="1:7" x14ac:dyDescent="0.25">
      <c r="A100" s="54">
        <v>42713</v>
      </c>
      <c r="B100" s="51">
        <v>300</v>
      </c>
      <c r="E100" s="42"/>
      <c r="F100" s="43"/>
      <c r="G100" s="44"/>
    </row>
    <row r="101" spans="1:7" x14ac:dyDescent="0.25">
      <c r="A101" s="54">
        <v>42717</v>
      </c>
      <c r="B101" s="51">
        <v>0.33333333300000001</v>
      </c>
      <c r="E101" s="42"/>
      <c r="F101" s="43"/>
      <c r="G101" s="44"/>
    </row>
    <row r="102" spans="1:7" x14ac:dyDescent="0.25">
      <c r="A102" s="54">
        <v>42718</v>
      </c>
      <c r="B102" s="51">
        <v>2</v>
      </c>
      <c r="E102" s="42"/>
      <c r="F102" s="43"/>
      <c r="G102" s="44"/>
    </row>
    <row r="103" spans="1:7" x14ac:dyDescent="0.25">
      <c r="A103" s="54">
        <v>42719</v>
      </c>
      <c r="B103" s="51">
        <v>0.33333333300000001</v>
      </c>
      <c r="E103" s="42"/>
      <c r="F103" s="43"/>
      <c r="G103" s="44"/>
    </row>
    <row r="104" spans="1:7" x14ac:dyDescent="0.25">
      <c r="A104" s="54">
        <v>42733</v>
      </c>
      <c r="B104" s="51">
        <v>69</v>
      </c>
      <c r="E104" s="42"/>
      <c r="F104" s="43"/>
      <c r="G104" s="44"/>
    </row>
    <row r="105" spans="1:7" x14ac:dyDescent="0.25">
      <c r="A105" s="54">
        <v>42746</v>
      </c>
      <c r="B105" s="51">
        <v>76</v>
      </c>
      <c r="E105" s="42"/>
      <c r="F105" s="43"/>
      <c r="G105" s="44"/>
    </row>
    <row r="106" spans="1:7" x14ac:dyDescent="0.25">
      <c r="A106" s="54">
        <v>42760</v>
      </c>
      <c r="B106" s="51">
        <v>4</v>
      </c>
      <c r="E106" s="42"/>
      <c r="F106" s="43"/>
      <c r="G106" s="44"/>
    </row>
    <row r="107" spans="1:7" x14ac:dyDescent="0.25">
      <c r="A107" s="54">
        <v>42774</v>
      </c>
      <c r="B107" s="51">
        <v>0.33333333300000001</v>
      </c>
      <c r="E107" s="42"/>
      <c r="F107" s="43"/>
      <c r="G107" s="44"/>
    </row>
    <row r="108" spans="1:7" x14ac:dyDescent="0.25">
      <c r="A108" s="54">
        <v>42788</v>
      </c>
      <c r="B108" s="59">
        <v>7</v>
      </c>
      <c r="E108" s="42"/>
      <c r="F108" s="43"/>
      <c r="G108" s="44"/>
    </row>
    <row r="109" spans="1:7" x14ac:dyDescent="0.25">
      <c r="A109" s="54">
        <v>42788</v>
      </c>
      <c r="B109" s="51">
        <v>300</v>
      </c>
      <c r="E109" s="42"/>
      <c r="F109" s="43"/>
      <c r="G109" s="44"/>
    </row>
    <row r="110" spans="1:7" x14ac:dyDescent="0.25">
      <c r="A110" s="54">
        <v>42802</v>
      </c>
      <c r="B110" s="59">
        <v>11</v>
      </c>
      <c r="E110" s="42"/>
      <c r="F110" s="43"/>
      <c r="G110" s="44"/>
    </row>
    <row r="111" spans="1:7" x14ac:dyDescent="0.25">
      <c r="A111" s="54">
        <v>42802</v>
      </c>
      <c r="B111" s="51">
        <v>2</v>
      </c>
      <c r="E111" s="42"/>
      <c r="F111" s="43"/>
      <c r="G111" s="44"/>
    </row>
    <row r="112" spans="1:7" x14ac:dyDescent="0.25">
      <c r="A112" s="54">
        <v>42816</v>
      </c>
      <c r="B112" s="59">
        <v>4</v>
      </c>
      <c r="E112" s="42"/>
      <c r="F112" s="43"/>
      <c r="G112" s="44"/>
    </row>
    <row r="113" spans="1:7" x14ac:dyDescent="0.25">
      <c r="A113" s="54">
        <v>42816</v>
      </c>
      <c r="B113" s="51">
        <v>7</v>
      </c>
      <c r="E113" s="42"/>
      <c r="F113" s="43"/>
      <c r="G113" s="44"/>
    </row>
    <row r="114" spans="1:7" x14ac:dyDescent="0.25">
      <c r="A114" s="54">
        <v>42830</v>
      </c>
      <c r="B114" s="59">
        <v>7</v>
      </c>
      <c r="E114" s="42"/>
      <c r="F114" s="43"/>
      <c r="G114" s="44"/>
    </row>
    <row r="115" spans="1:7" x14ac:dyDescent="0.25">
      <c r="A115" s="54">
        <v>42830</v>
      </c>
      <c r="B115" s="51">
        <v>28</v>
      </c>
      <c r="E115" s="42"/>
      <c r="F115" s="43"/>
      <c r="G115" s="44"/>
    </row>
    <row r="116" spans="1:7" x14ac:dyDescent="0.25">
      <c r="A116" s="54">
        <v>42844</v>
      </c>
      <c r="B116" s="59">
        <v>10</v>
      </c>
      <c r="E116" s="42"/>
      <c r="F116" s="43"/>
      <c r="G116" s="44"/>
    </row>
    <row r="117" spans="1:7" x14ac:dyDescent="0.25">
      <c r="A117" s="54">
        <v>42844</v>
      </c>
      <c r="B117" s="51">
        <v>6</v>
      </c>
      <c r="E117" s="42"/>
      <c r="F117" s="43"/>
      <c r="G117" s="44"/>
    </row>
    <row r="118" spans="1:7" x14ac:dyDescent="0.25">
      <c r="A118" s="54">
        <v>42858</v>
      </c>
      <c r="B118" s="59">
        <v>9</v>
      </c>
      <c r="E118" s="42"/>
      <c r="F118" s="43"/>
      <c r="G118" s="44"/>
    </row>
    <row r="119" spans="1:7" x14ac:dyDescent="0.25">
      <c r="A119" s="54">
        <v>42858</v>
      </c>
      <c r="B119" s="51">
        <v>2</v>
      </c>
      <c r="E119" s="42"/>
      <c r="F119" s="43"/>
      <c r="G119" s="44"/>
    </row>
    <row r="120" spans="1:7" x14ac:dyDescent="0.25">
      <c r="A120" s="54">
        <v>42872</v>
      </c>
      <c r="B120" s="59">
        <v>1</v>
      </c>
      <c r="E120" s="42"/>
      <c r="F120" s="43"/>
      <c r="G120" s="44"/>
    </row>
    <row r="121" spans="1:7" x14ac:dyDescent="0.25">
      <c r="A121" s="54">
        <v>42872</v>
      </c>
      <c r="B121" s="51">
        <v>24</v>
      </c>
      <c r="E121" s="42"/>
      <c r="F121" s="43"/>
      <c r="G121" s="44"/>
    </row>
    <row r="122" spans="1:7" x14ac:dyDescent="0.25">
      <c r="A122" s="54">
        <v>42886</v>
      </c>
      <c r="B122" s="51">
        <v>400</v>
      </c>
      <c r="E122" s="42"/>
      <c r="F122" s="43"/>
      <c r="G122" s="44"/>
    </row>
    <row r="123" spans="1:7" x14ac:dyDescent="0.25">
      <c r="A123" s="54">
        <v>42900</v>
      </c>
      <c r="B123" s="51">
        <v>52</v>
      </c>
      <c r="E123" s="42"/>
      <c r="F123" s="43"/>
      <c r="G123" s="44"/>
    </row>
    <row r="124" spans="1:7" x14ac:dyDescent="0.25">
      <c r="A124" s="54">
        <v>42914</v>
      </c>
      <c r="B124" s="51">
        <v>34</v>
      </c>
      <c r="E124" s="42"/>
      <c r="F124" s="43"/>
      <c r="G124" s="44"/>
    </row>
    <row r="125" spans="1:7" x14ac:dyDescent="0.25">
      <c r="A125" s="54">
        <v>42928</v>
      </c>
      <c r="B125" s="51">
        <v>10</v>
      </c>
      <c r="E125" s="42"/>
      <c r="F125" s="43"/>
      <c r="G125" s="44"/>
    </row>
    <row r="126" spans="1:7" x14ac:dyDescent="0.25">
      <c r="A126" s="54">
        <v>42942</v>
      </c>
      <c r="B126" s="51">
        <v>15</v>
      </c>
      <c r="E126" s="42"/>
      <c r="F126" s="43"/>
      <c r="G126" s="44"/>
    </row>
    <row r="127" spans="1:7" x14ac:dyDescent="0.25">
      <c r="A127" s="54">
        <v>42957</v>
      </c>
      <c r="B127" s="51">
        <v>29</v>
      </c>
      <c r="E127" s="42"/>
      <c r="F127" s="43"/>
      <c r="G127" s="44"/>
    </row>
    <row r="128" spans="1:7" x14ac:dyDescent="0.25">
      <c r="A128" s="54">
        <v>42970</v>
      </c>
      <c r="B128" s="51">
        <v>12</v>
      </c>
      <c r="E128" s="42"/>
      <c r="F128" s="43"/>
      <c r="G128" s="44"/>
    </row>
    <row r="129" spans="1:7" x14ac:dyDescent="0.25">
      <c r="A129" s="54">
        <v>42984</v>
      </c>
      <c r="B129" s="51">
        <v>19</v>
      </c>
      <c r="E129" s="42"/>
      <c r="F129" s="43"/>
      <c r="G129" s="44"/>
    </row>
    <row r="130" spans="1:7" x14ac:dyDescent="0.25">
      <c r="A130" s="54">
        <v>42998</v>
      </c>
      <c r="B130" s="51">
        <v>9</v>
      </c>
      <c r="E130" s="42"/>
      <c r="F130" s="43"/>
      <c r="G130" s="44"/>
    </row>
    <row r="131" spans="1:7" x14ac:dyDescent="0.25">
      <c r="A131" s="54">
        <v>43012</v>
      </c>
      <c r="B131" s="51">
        <v>11</v>
      </c>
      <c r="E131" s="42"/>
      <c r="F131" s="43"/>
      <c r="G131" s="44"/>
    </row>
    <row r="132" spans="1:7" x14ac:dyDescent="0.25">
      <c r="A132" s="54">
        <v>43026</v>
      </c>
      <c r="B132" s="51">
        <v>7</v>
      </c>
      <c r="E132" s="42"/>
      <c r="F132" s="43"/>
      <c r="G132" s="44"/>
    </row>
    <row r="133" spans="1:7" x14ac:dyDescent="0.25">
      <c r="A133" s="54">
        <v>43040</v>
      </c>
      <c r="B133" s="51">
        <v>0.33333333300000001</v>
      </c>
      <c r="E133" s="42"/>
      <c r="F133" s="43"/>
      <c r="G133" s="44"/>
    </row>
    <row r="134" spans="1:7" x14ac:dyDescent="0.25">
      <c r="A134" s="54">
        <v>43054</v>
      </c>
      <c r="B134" s="51">
        <v>39</v>
      </c>
      <c r="E134" s="42"/>
      <c r="F134" s="43"/>
      <c r="G134" s="44"/>
    </row>
    <row r="135" spans="1:7" x14ac:dyDescent="0.25">
      <c r="A135" s="54">
        <v>43068</v>
      </c>
      <c r="B135" s="51">
        <v>18</v>
      </c>
      <c r="E135" s="42"/>
      <c r="F135" s="43"/>
      <c r="G135" s="44"/>
    </row>
    <row r="136" spans="1:7" x14ac:dyDescent="0.25">
      <c r="A136" s="54">
        <v>43082</v>
      </c>
      <c r="B136" s="51">
        <v>11</v>
      </c>
      <c r="E136" s="42"/>
      <c r="F136" s="43"/>
      <c r="G136" s="44"/>
    </row>
    <row r="137" spans="1:7" x14ac:dyDescent="0.25">
      <c r="A137" s="54">
        <v>43097</v>
      </c>
      <c r="B137" s="51">
        <v>12</v>
      </c>
      <c r="E137" s="42"/>
      <c r="F137" s="43"/>
      <c r="G137" s="44"/>
    </row>
    <row r="138" spans="1:7" x14ac:dyDescent="0.25">
      <c r="A138" s="54">
        <v>43110</v>
      </c>
      <c r="B138" s="51">
        <v>10</v>
      </c>
      <c r="E138" s="42"/>
      <c r="F138" s="43"/>
      <c r="G138" s="44"/>
    </row>
    <row r="139" spans="1:7" x14ac:dyDescent="0.25">
      <c r="A139" s="54">
        <v>43124</v>
      </c>
      <c r="B139" s="51">
        <v>4</v>
      </c>
      <c r="E139" s="42"/>
      <c r="F139" s="43"/>
      <c r="G139" s="44"/>
    </row>
    <row r="140" spans="1:7" x14ac:dyDescent="0.25">
      <c r="A140" s="54">
        <v>43138</v>
      </c>
      <c r="B140" s="51">
        <v>7</v>
      </c>
      <c r="E140" s="42"/>
      <c r="F140" s="43"/>
      <c r="G140" s="44"/>
    </row>
    <row r="141" spans="1:7" x14ac:dyDescent="0.25">
      <c r="A141" s="54">
        <v>43152</v>
      </c>
      <c r="B141" s="51">
        <v>3</v>
      </c>
      <c r="E141" s="42"/>
      <c r="F141" s="43"/>
      <c r="G141" s="44"/>
    </row>
    <row r="142" spans="1:7" x14ac:dyDescent="0.25">
      <c r="A142" s="54">
        <v>43166</v>
      </c>
      <c r="B142" s="51">
        <v>750</v>
      </c>
      <c r="E142" s="42"/>
      <c r="F142" s="43"/>
      <c r="G142" s="44"/>
    </row>
    <row r="143" spans="1:7" x14ac:dyDescent="0.25">
      <c r="A143" s="54">
        <v>43180</v>
      </c>
      <c r="B143" s="59">
        <v>1</v>
      </c>
      <c r="E143" s="42"/>
      <c r="F143" s="43"/>
      <c r="G143" s="44"/>
    </row>
    <row r="144" spans="1:7" x14ac:dyDescent="0.25">
      <c r="A144" s="54">
        <v>43181</v>
      </c>
      <c r="B144" s="51">
        <v>6</v>
      </c>
      <c r="E144" s="42"/>
      <c r="F144" s="43"/>
      <c r="G144" s="44"/>
    </row>
    <row r="145" spans="1:2" x14ac:dyDescent="0.25">
      <c r="A145" s="54">
        <v>43194</v>
      </c>
      <c r="B145" s="59">
        <v>8</v>
      </c>
    </row>
    <row r="146" spans="1:2" x14ac:dyDescent="0.25">
      <c r="A146" s="54">
        <v>43194</v>
      </c>
      <c r="B146" s="51">
        <v>4</v>
      </c>
    </row>
    <row r="147" spans="1:2" x14ac:dyDescent="0.25">
      <c r="A147" s="54">
        <v>43208</v>
      </c>
      <c r="B147" s="59">
        <v>96</v>
      </c>
    </row>
    <row r="148" spans="1:2" x14ac:dyDescent="0.25">
      <c r="A148" s="54">
        <v>43208</v>
      </c>
      <c r="B148" s="51">
        <v>200</v>
      </c>
    </row>
    <row r="149" spans="1:2" x14ac:dyDescent="0.25">
      <c r="A149" s="54">
        <v>43222</v>
      </c>
      <c r="B149" s="59">
        <v>0</v>
      </c>
    </row>
    <row r="150" spans="1:2" x14ac:dyDescent="0.25">
      <c r="A150" s="54">
        <v>43222</v>
      </c>
      <c r="B150" s="51">
        <v>1</v>
      </c>
    </row>
    <row r="151" spans="1:2" x14ac:dyDescent="0.25">
      <c r="A151" s="54">
        <v>43236</v>
      </c>
      <c r="B151" s="59">
        <v>5</v>
      </c>
    </row>
    <row r="152" spans="1:2" x14ac:dyDescent="0.25">
      <c r="A152" s="54">
        <v>43236</v>
      </c>
      <c r="B152" s="51">
        <v>0.33333333300000001</v>
      </c>
    </row>
    <row r="153" spans="1:2" x14ac:dyDescent="0.25">
      <c r="A153" s="54">
        <v>43250</v>
      </c>
      <c r="B153" s="59">
        <v>46</v>
      </c>
    </row>
    <row r="154" spans="1:2" x14ac:dyDescent="0.25">
      <c r="A154" s="54">
        <v>43250</v>
      </c>
      <c r="B154" s="51">
        <v>10</v>
      </c>
    </row>
    <row r="155" spans="1:2" x14ac:dyDescent="0.25">
      <c r="A155" s="54">
        <v>43264</v>
      </c>
      <c r="B155" s="59">
        <v>88</v>
      </c>
    </row>
    <row r="156" spans="1:2" x14ac:dyDescent="0.25">
      <c r="A156" s="54">
        <v>43264</v>
      </c>
      <c r="B156" s="51">
        <v>5</v>
      </c>
    </row>
    <row r="157" spans="1:2" x14ac:dyDescent="0.25">
      <c r="A157" s="54">
        <v>43278</v>
      </c>
      <c r="B157" s="59">
        <v>3</v>
      </c>
    </row>
    <row r="158" spans="1:2" x14ac:dyDescent="0.25">
      <c r="A158" s="54">
        <v>43278</v>
      </c>
      <c r="B158" s="51">
        <v>29</v>
      </c>
    </row>
    <row r="159" spans="1:2" x14ac:dyDescent="0.25">
      <c r="A159" s="54">
        <v>43292</v>
      </c>
      <c r="B159" s="56">
        <v>1</v>
      </c>
    </row>
    <row r="160" spans="1:2" x14ac:dyDescent="0.25">
      <c r="A160" s="54">
        <v>43292</v>
      </c>
      <c r="B160" s="51">
        <v>0.33333333300000001</v>
      </c>
    </row>
    <row r="161" spans="1:2" x14ac:dyDescent="0.25">
      <c r="A161" s="54">
        <v>43306</v>
      </c>
      <c r="B161" s="59">
        <v>1</v>
      </c>
    </row>
    <row r="162" spans="1:2" x14ac:dyDescent="0.25">
      <c r="A162" s="54">
        <v>43306</v>
      </c>
      <c r="B162" s="51">
        <v>5</v>
      </c>
    </row>
    <row r="163" spans="1:2" x14ac:dyDescent="0.25">
      <c r="A163" s="54">
        <v>43320</v>
      </c>
      <c r="B163" s="59">
        <v>6</v>
      </c>
    </row>
    <row r="164" spans="1:2" x14ac:dyDescent="0.25">
      <c r="A164" s="54">
        <v>43320</v>
      </c>
      <c r="B164" s="51">
        <v>0.33333333300000001</v>
      </c>
    </row>
    <row r="165" spans="1:2" x14ac:dyDescent="0.25">
      <c r="A165" s="54">
        <v>43334</v>
      </c>
      <c r="B165" s="59">
        <v>2</v>
      </c>
    </row>
    <row r="166" spans="1:2" x14ac:dyDescent="0.25">
      <c r="A166" s="54">
        <v>43334</v>
      </c>
      <c r="B166" s="51">
        <v>3</v>
      </c>
    </row>
    <row r="167" spans="1:2" x14ac:dyDescent="0.25">
      <c r="A167" s="54">
        <v>43348</v>
      </c>
      <c r="B167" s="59">
        <v>2</v>
      </c>
    </row>
    <row r="168" spans="1:2" x14ac:dyDescent="0.25">
      <c r="A168" s="54">
        <v>43348</v>
      </c>
      <c r="B168" s="51">
        <v>6</v>
      </c>
    </row>
    <row r="169" spans="1:2" x14ac:dyDescent="0.25">
      <c r="A169" s="54">
        <v>43362</v>
      </c>
      <c r="B169" s="56">
        <v>6</v>
      </c>
    </row>
    <row r="170" spans="1:2" x14ac:dyDescent="0.25">
      <c r="A170" s="54">
        <v>43362</v>
      </c>
      <c r="B170" s="51">
        <v>66</v>
      </c>
    </row>
    <row r="171" spans="1:2" x14ac:dyDescent="0.25">
      <c r="A171" s="54">
        <v>43376</v>
      </c>
      <c r="B171" s="59">
        <v>6</v>
      </c>
    </row>
    <row r="172" spans="1:2" x14ac:dyDescent="0.25">
      <c r="A172" s="54">
        <v>43376.409722222219</v>
      </c>
      <c r="B172" s="51">
        <v>10</v>
      </c>
    </row>
    <row r="173" spans="1:2" x14ac:dyDescent="0.25">
      <c r="A173" s="54">
        <v>43390</v>
      </c>
      <c r="B173" s="59">
        <v>1</v>
      </c>
    </row>
    <row r="174" spans="1:2" x14ac:dyDescent="0.25">
      <c r="A174" s="54">
        <v>43390.413888888892</v>
      </c>
      <c r="B174" s="51">
        <v>900</v>
      </c>
    </row>
    <row r="175" spans="1:2" x14ac:dyDescent="0.25">
      <c r="A175" s="54">
        <v>43404.402083333334</v>
      </c>
      <c r="B175" s="51">
        <v>9</v>
      </c>
    </row>
    <row r="176" spans="1:2" x14ac:dyDescent="0.25">
      <c r="A176" s="54">
        <v>43418.400694444441</v>
      </c>
      <c r="B176" s="51">
        <v>0.33333333300000001</v>
      </c>
    </row>
    <row r="177" spans="1:2" x14ac:dyDescent="0.25">
      <c r="A177" s="54">
        <v>43432.356944444444</v>
      </c>
      <c r="B177" s="51">
        <v>0.33333333300000001</v>
      </c>
    </row>
    <row r="178" spans="1:2" x14ac:dyDescent="0.25">
      <c r="A178" s="54">
        <v>43446.400694444441</v>
      </c>
      <c r="B178" s="51">
        <v>10</v>
      </c>
    </row>
    <row r="179" spans="1:2" x14ac:dyDescent="0.25">
      <c r="A179" s="54">
        <v>43451.461805555555</v>
      </c>
      <c r="B179" s="51">
        <v>8</v>
      </c>
    </row>
    <row r="180" spans="1:2" x14ac:dyDescent="0.25">
      <c r="A180" s="54">
        <v>43456</v>
      </c>
      <c r="B180" s="53">
        <v>1</v>
      </c>
    </row>
    <row r="181" spans="1:2" x14ac:dyDescent="0.25">
      <c r="A181" s="54">
        <v>43461</v>
      </c>
      <c r="B181" s="53">
        <v>46</v>
      </c>
    </row>
    <row r="182" spans="1:2" x14ac:dyDescent="0.25">
      <c r="A182" s="54">
        <v>43466</v>
      </c>
      <c r="B182" s="53">
        <v>88</v>
      </c>
    </row>
    <row r="183" spans="1:2" x14ac:dyDescent="0.25">
      <c r="A183" s="54">
        <v>43471</v>
      </c>
      <c r="B183" s="53">
        <v>1</v>
      </c>
    </row>
    <row r="184" spans="1:2" x14ac:dyDescent="0.25">
      <c r="A184" s="54">
        <v>43474.399305555555</v>
      </c>
      <c r="B184" s="51">
        <v>3</v>
      </c>
    </row>
    <row r="185" spans="1:2" x14ac:dyDescent="0.25">
      <c r="A185" s="54">
        <v>43476</v>
      </c>
      <c r="B185" s="53">
        <v>0.33300000000000002</v>
      </c>
    </row>
    <row r="186" spans="1:2" x14ac:dyDescent="0.25">
      <c r="A186" s="54">
        <v>43481</v>
      </c>
      <c r="B186" s="53">
        <v>2</v>
      </c>
    </row>
    <row r="187" spans="1:2" x14ac:dyDescent="0.25">
      <c r="A187" s="54">
        <v>43486</v>
      </c>
      <c r="B187" s="53">
        <v>6</v>
      </c>
    </row>
    <row r="188" spans="1:2" x14ac:dyDescent="0.25">
      <c r="A188" s="54">
        <v>43488.40347222222</v>
      </c>
      <c r="B188" s="51">
        <v>0.33333333300000001</v>
      </c>
    </row>
    <row r="189" spans="1:2" x14ac:dyDescent="0.25">
      <c r="A189" s="54">
        <v>43491</v>
      </c>
      <c r="B189" s="53">
        <v>6</v>
      </c>
    </row>
    <row r="190" spans="1:2" x14ac:dyDescent="0.25">
      <c r="A190" s="54">
        <v>43502</v>
      </c>
      <c r="B190" s="53">
        <v>15000</v>
      </c>
    </row>
    <row r="191" spans="1:2" x14ac:dyDescent="0.25">
      <c r="A191" s="54">
        <v>43516.404861111114</v>
      </c>
      <c r="B191" s="51">
        <v>65</v>
      </c>
    </row>
    <row r="192" spans="1:2" x14ac:dyDescent="0.25">
      <c r="A192" s="54">
        <v>43530.404861111114</v>
      </c>
      <c r="B192" s="51">
        <v>1</v>
      </c>
    </row>
    <row r="193" spans="1:2" x14ac:dyDescent="0.25">
      <c r="A193" s="54">
        <v>43544</v>
      </c>
      <c r="B193" s="51">
        <v>11</v>
      </c>
    </row>
    <row r="194" spans="1:2" x14ac:dyDescent="0.25">
      <c r="A194" s="54">
        <v>43558</v>
      </c>
      <c r="B194" s="51">
        <v>250</v>
      </c>
    </row>
    <row r="195" spans="1:2" x14ac:dyDescent="0.25">
      <c r="A195" s="54">
        <v>43571</v>
      </c>
      <c r="B195" s="51">
        <v>5</v>
      </c>
    </row>
    <row r="196" spans="1:2" x14ac:dyDescent="0.25">
      <c r="A196" s="54">
        <v>43587</v>
      </c>
      <c r="B196" s="51">
        <v>28</v>
      </c>
    </row>
    <row r="197" spans="1:2" x14ac:dyDescent="0.25">
      <c r="A197" s="54">
        <v>43600</v>
      </c>
      <c r="B197" s="51">
        <v>0.33333333300000001</v>
      </c>
    </row>
    <row r="198" spans="1:2" x14ac:dyDescent="0.25">
      <c r="A198" s="54">
        <v>43614</v>
      </c>
      <c r="B198" s="51">
        <v>3</v>
      </c>
    </row>
    <row r="199" spans="1:2" x14ac:dyDescent="0.25">
      <c r="A199" s="54">
        <v>43628</v>
      </c>
      <c r="B199" s="51">
        <v>550</v>
      </c>
    </row>
    <row r="200" spans="1:2" x14ac:dyDescent="0.25">
      <c r="A200" s="54">
        <v>43642</v>
      </c>
      <c r="B200" s="51">
        <v>3</v>
      </c>
    </row>
    <row r="201" spans="1:2" x14ac:dyDescent="0.25">
      <c r="A201" s="54">
        <v>43656</v>
      </c>
      <c r="B201" s="51">
        <v>20</v>
      </c>
    </row>
    <row r="202" spans="1:2" x14ac:dyDescent="0.25">
      <c r="A202" s="54">
        <v>43670</v>
      </c>
      <c r="B202" s="51">
        <v>200</v>
      </c>
    </row>
    <row r="203" spans="1:2" x14ac:dyDescent="0.25">
      <c r="A203" s="54">
        <v>43683</v>
      </c>
      <c r="B203" s="51">
        <v>28</v>
      </c>
    </row>
    <row r="204" spans="1:2" x14ac:dyDescent="0.25">
      <c r="A204" s="54">
        <v>43684</v>
      </c>
      <c r="B204" s="53">
        <v>0.33300000000000002</v>
      </c>
    </row>
    <row r="205" spans="1:2" x14ac:dyDescent="0.25">
      <c r="A205" s="54">
        <v>43696</v>
      </c>
      <c r="B205" s="53">
        <v>0.33300000000000002</v>
      </c>
    </row>
    <row r="206" spans="1:2" x14ac:dyDescent="0.25">
      <c r="A206" s="54">
        <v>43698</v>
      </c>
      <c r="B206" s="53">
        <v>0.33300000000000002</v>
      </c>
    </row>
    <row r="207" spans="1:2" x14ac:dyDescent="0.25">
      <c r="A207" s="54">
        <v>43698</v>
      </c>
      <c r="B207" s="51">
        <v>1</v>
      </c>
    </row>
    <row r="208" spans="1:2" x14ac:dyDescent="0.25">
      <c r="A208" s="54">
        <v>43699</v>
      </c>
      <c r="B208" s="51">
        <v>1</v>
      </c>
    </row>
    <row r="209" spans="1:2" x14ac:dyDescent="0.25">
      <c r="A209" s="54">
        <v>43709</v>
      </c>
      <c r="B209" s="53">
        <v>0.33300000000000002</v>
      </c>
    </row>
    <row r="210" spans="1:2" x14ac:dyDescent="0.25">
      <c r="A210" s="54">
        <v>43712</v>
      </c>
      <c r="B210" s="53">
        <v>6</v>
      </c>
    </row>
    <row r="211" spans="1:2" x14ac:dyDescent="0.25">
      <c r="A211" s="54">
        <v>43722</v>
      </c>
      <c r="B211" s="53">
        <v>5</v>
      </c>
    </row>
    <row r="212" spans="1:2" x14ac:dyDescent="0.25">
      <c r="A212" s="54">
        <v>43725</v>
      </c>
      <c r="B212" s="53">
        <v>8</v>
      </c>
    </row>
    <row r="213" spans="1:2" x14ac:dyDescent="0.25">
      <c r="A213" s="54">
        <v>43740</v>
      </c>
      <c r="B213" s="51">
        <v>4</v>
      </c>
    </row>
    <row r="214" spans="1:2" x14ac:dyDescent="0.25">
      <c r="A214" s="54">
        <v>43754</v>
      </c>
      <c r="B214" s="51">
        <v>1700</v>
      </c>
    </row>
    <row r="215" spans="1:2" x14ac:dyDescent="0.25">
      <c r="A215" s="54">
        <v>43758</v>
      </c>
      <c r="B215" s="60">
        <v>0.33300000000000002</v>
      </c>
    </row>
    <row r="216" spans="1:2" x14ac:dyDescent="0.25">
      <c r="A216" s="54">
        <v>43758</v>
      </c>
      <c r="B216" s="60">
        <v>1</v>
      </c>
    </row>
    <row r="217" spans="1:2" x14ac:dyDescent="0.25">
      <c r="A217" s="54">
        <v>43758</v>
      </c>
      <c r="B217" s="60">
        <v>1</v>
      </c>
    </row>
    <row r="218" spans="1:2" x14ac:dyDescent="0.25">
      <c r="A218" s="54">
        <v>43768</v>
      </c>
      <c r="B218" s="51">
        <v>1</v>
      </c>
    </row>
    <row r="219" spans="1:2" x14ac:dyDescent="0.25">
      <c r="A219" s="54">
        <v>43773</v>
      </c>
      <c r="B219" s="60">
        <v>0.33300000000000002</v>
      </c>
    </row>
    <row r="220" spans="1:2" x14ac:dyDescent="0.25">
      <c r="A220" s="54">
        <v>43782</v>
      </c>
      <c r="B220" s="51">
        <v>12</v>
      </c>
    </row>
    <row r="221" spans="1:2" x14ac:dyDescent="0.25">
      <c r="A221" s="54">
        <v>43788</v>
      </c>
      <c r="B221" s="60">
        <v>0.33300000000000002</v>
      </c>
    </row>
    <row r="222" spans="1:2" x14ac:dyDescent="0.25">
      <c r="A222" s="54">
        <v>43789</v>
      </c>
      <c r="B222" s="60">
        <v>6</v>
      </c>
    </row>
    <row r="223" spans="1:2" x14ac:dyDescent="0.25">
      <c r="A223" s="54">
        <v>43789</v>
      </c>
      <c r="B223" s="60">
        <v>6</v>
      </c>
    </row>
    <row r="224" spans="1:2" x14ac:dyDescent="0.25">
      <c r="A224" s="54">
        <v>43796</v>
      </c>
      <c r="B224" s="51">
        <v>0.33333333300000001</v>
      </c>
    </row>
    <row r="225" spans="1:2" x14ac:dyDescent="0.25">
      <c r="A225" s="54">
        <v>43803</v>
      </c>
      <c r="B225" s="51">
        <v>4</v>
      </c>
    </row>
    <row r="226" spans="1:2" x14ac:dyDescent="0.25">
      <c r="A226" s="54">
        <v>43810</v>
      </c>
      <c r="B226" s="51">
        <v>2</v>
      </c>
    </row>
    <row r="227" spans="1:2" x14ac:dyDescent="0.25">
      <c r="A227" s="54">
        <v>43810</v>
      </c>
      <c r="B227" s="61">
        <v>4</v>
      </c>
    </row>
    <row r="228" spans="1:2" x14ac:dyDescent="0.25">
      <c r="A228" s="54">
        <v>43810</v>
      </c>
      <c r="B228" s="61">
        <v>2</v>
      </c>
    </row>
    <row r="229" spans="1:2" x14ac:dyDescent="0.25">
      <c r="A229" s="54">
        <v>43817</v>
      </c>
      <c r="B229" s="61">
        <v>20</v>
      </c>
    </row>
    <row r="230" spans="1:2" x14ac:dyDescent="0.25">
      <c r="A230" s="54">
        <v>43821</v>
      </c>
      <c r="B230" s="61">
        <v>3</v>
      </c>
    </row>
    <row r="231" spans="1:2" x14ac:dyDescent="0.25">
      <c r="A231" s="54">
        <v>43832</v>
      </c>
      <c r="B231" s="61">
        <v>13</v>
      </c>
    </row>
    <row r="232" spans="1:2" x14ac:dyDescent="0.25">
      <c r="A232" s="54">
        <v>43832</v>
      </c>
      <c r="B232" s="61">
        <v>13</v>
      </c>
    </row>
    <row r="233" spans="1:2" x14ac:dyDescent="0.25">
      <c r="A233" s="54">
        <v>43836</v>
      </c>
      <c r="B233" s="61">
        <v>26</v>
      </c>
    </row>
    <row r="234" spans="1:2" x14ac:dyDescent="0.25">
      <c r="A234" s="54">
        <v>43838</v>
      </c>
      <c r="B234" s="61">
        <v>9</v>
      </c>
    </row>
    <row r="235" spans="1:2" x14ac:dyDescent="0.25">
      <c r="A235" s="54">
        <v>43838</v>
      </c>
      <c r="B235" s="61">
        <v>1</v>
      </c>
    </row>
    <row r="236" spans="1:2" x14ac:dyDescent="0.25">
      <c r="A236" s="54">
        <v>43838</v>
      </c>
      <c r="B236" s="61">
        <v>1</v>
      </c>
    </row>
    <row r="237" spans="1:2" x14ac:dyDescent="0.25">
      <c r="A237" s="54">
        <v>43845</v>
      </c>
      <c r="B237" s="61">
        <v>4</v>
      </c>
    </row>
    <row r="238" spans="1:2" x14ac:dyDescent="0.25">
      <c r="A238" s="54">
        <v>43845</v>
      </c>
      <c r="B238" s="61">
        <v>4</v>
      </c>
    </row>
    <row r="239" spans="1:2" x14ac:dyDescent="0.25">
      <c r="A239" s="54">
        <v>43852</v>
      </c>
      <c r="B239" s="61">
        <v>17</v>
      </c>
    </row>
    <row r="240" spans="1:2" x14ac:dyDescent="0.25">
      <c r="A240" s="54">
        <v>43852</v>
      </c>
      <c r="B240" s="61">
        <v>41</v>
      </c>
    </row>
    <row r="241" spans="1:2" x14ac:dyDescent="0.25">
      <c r="A241" s="54">
        <v>43852</v>
      </c>
      <c r="B241" s="61">
        <v>17</v>
      </c>
    </row>
    <row r="242" spans="1:2" x14ac:dyDescent="0.25">
      <c r="A242" s="54">
        <v>43857</v>
      </c>
      <c r="B242" s="61">
        <v>3.3333000000000002E-2</v>
      </c>
    </row>
    <row r="243" spans="1:2" x14ac:dyDescent="0.25">
      <c r="A243" s="54">
        <v>43860</v>
      </c>
      <c r="B243" s="61">
        <v>72</v>
      </c>
    </row>
    <row r="244" spans="1:2" x14ac:dyDescent="0.25">
      <c r="A244" s="54">
        <v>43860</v>
      </c>
      <c r="B244" s="61">
        <v>72</v>
      </c>
    </row>
    <row r="245" spans="1:2" x14ac:dyDescent="0.25">
      <c r="A245" s="54">
        <v>43866</v>
      </c>
      <c r="B245" s="61">
        <v>1</v>
      </c>
    </row>
    <row r="246" spans="1:2" x14ac:dyDescent="0.25">
      <c r="A246" s="54">
        <v>43866</v>
      </c>
      <c r="B246" s="61">
        <v>13</v>
      </c>
    </row>
    <row r="247" spans="1:2" x14ac:dyDescent="0.25">
      <c r="A247" s="54">
        <v>43880</v>
      </c>
      <c r="B247" s="61">
        <v>15</v>
      </c>
    </row>
    <row r="248" spans="1:2" x14ac:dyDescent="0.25">
      <c r="A248" s="54">
        <v>43880</v>
      </c>
      <c r="B248" s="61">
        <v>1</v>
      </c>
    </row>
    <row r="249" spans="1:2" x14ac:dyDescent="0.25">
      <c r="A249" s="54">
        <v>43880</v>
      </c>
      <c r="B249" s="61">
        <v>1</v>
      </c>
    </row>
    <row r="250" spans="1:2" x14ac:dyDescent="0.25">
      <c r="A250" s="54">
        <v>43893</v>
      </c>
      <c r="B250" s="61">
        <v>2</v>
      </c>
    </row>
    <row r="251" spans="1:2" x14ac:dyDescent="0.25">
      <c r="A251" s="54">
        <v>43893</v>
      </c>
      <c r="B251" s="61">
        <v>2</v>
      </c>
    </row>
    <row r="252" spans="1:2" x14ac:dyDescent="0.25">
      <c r="A252" s="54">
        <v>43894</v>
      </c>
      <c r="B252" s="61">
        <v>5</v>
      </c>
    </row>
    <row r="253" spans="1:2" x14ac:dyDescent="0.25">
      <c r="A253" s="54">
        <v>43897</v>
      </c>
      <c r="B253" s="61">
        <v>3</v>
      </c>
    </row>
    <row r="254" spans="1:2" x14ac:dyDescent="0.25">
      <c r="A254" s="54">
        <v>43899</v>
      </c>
      <c r="B254" s="61">
        <v>1</v>
      </c>
    </row>
    <row r="255" spans="1:2" x14ac:dyDescent="0.25">
      <c r="A255" s="54">
        <v>43900</v>
      </c>
      <c r="B255" s="61">
        <v>0.33300000000000002</v>
      </c>
    </row>
    <row r="256" spans="1:2" x14ac:dyDescent="0.25">
      <c r="A256" s="54">
        <v>43903</v>
      </c>
      <c r="B256" s="61">
        <v>0.33300000000000002</v>
      </c>
    </row>
    <row r="257" spans="1:2" x14ac:dyDescent="0.25">
      <c r="A257" s="54">
        <v>43908</v>
      </c>
      <c r="B257" s="61">
        <v>5</v>
      </c>
    </row>
    <row r="258" spans="1:2" x14ac:dyDescent="0.25">
      <c r="A258" s="54">
        <v>43908</v>
      </c>
      <c r="B258" s="61">
        <v>3.3333000000000002E-2</v>
      </c>
    </row>
    <row r="259" spans="1:2" x14ac:dyDescent="0.25">
      <c r="A259" s="54">
        <v>43908</v>
      </c>
      <c r="B259" s="61">
        <v>5</v>
      </c>
    </row>
    <row r="260" spans="1:2" x14ac:dyDescent="0.25">
      <c r="A260" s="54">
        <v>43992</v>
      </c>
      <c r="B260" s="61">
        <v>29</v>
      </c>
    </row>
    <row r="261" spans="1:2" x14ac:dyDescent="0.25">
      <c r="A261" s="54">
        <v>44007</v>
      </c>
      <c r="B261" s="61">
        <v>5</v>
      </c>
    </row>
    <row r="262" spans="1:2" x14ac:dyDescent="0.25">
      <c r="A262" s="54">
        <v>44020</v>
      </c>
      <c r="B262" s="61">
        <v>1</v>
      </c>
    </row>
    <row r="263" spans="1:2" x14ac:dyDescent="0.25">
      <c r="A263" s="54">
        <v>44034</v>
      </c>
      <c r="B263" s="61">
        <v>1</v>
      </c>
    </row>
    <row r="264" spans="1:2" x14ac:dyDescent="0.25">
      <c r="A264" s="54">
        <v>44048</v>
      </c>
      <c r="B264" s="61">
        <v>1</v>
      </c>
    </row>
    <row r="265" spans="1:2" x14ac:dyDescent="0.25">
      <c r="A265" s="54">
        <v>44062</v>
      </c>
      <c r="B265" s="61">
        <v>1</v>
      </c>
    </row>
    <row r="266" spans="1:2" x14ac:dyDescent="0.25">
      <c r="A266" s="54">
        <v>44076</v>
      </c>
      <c r="B266" s="61">
        <v>3</v>
      </c>
    </row>
    <row r="267" spans="1:2" x14ac:dyDescent="0.25">
      <c r="A267" s="54">
        <v>44096</v>
      </c>
      <c r="B267" s="61">
        <v>1</v>
      </c>
    </row>
    <row r="268" spans="1:2" x14ac:dyDescent="0.25">
      <c r="A268" s="54">
        <v>44097</v>
      </c>
      <c r="B268" s="61">
        <v>4</v>
      </c>
    </row>
    <row r="269" spans="1:2" x14ac:dyDescent="0.25">
      <c r="A269" s="54">
        <v>44098</v>
      </c>
      <c r="B269" s="61">
        <v>18</v>
      </c>
    </row>
    <row r="270" spans="1:2" x14ac:dyDescent="0.25">
      <c r="A270" s="54">
        <v>44099</v>
      </c>
      <c r="B270" s="61">
        <v>5</v>
      </c>
    </row>
    <row r="271" spans="1:2" x14ac:dyDescent="0.25">
      <c r="A271" s="54">
        <v>44100</v>
      </c>
      <c r="B271" s="61">
        <v>1</v>
      </c>
    </row>
    <row r="272" spans="1:2" x14ac:dyDescent="0.25">
      <c r="A272" s="54">
        <v>44118</v>
      </c>
      <c r="B272" s="61">
        <f>1/3</f>
        <v>0.33333333333333331</v>
      </c>
    </row>
    <row r="273" spans="1:2" x14ac:dyDescent="0.25">
      <c r="A273" s="54">
        <v>44132</v>
      </c>
      <c r="B273" s="61">
        <v>11</v>
      </c>
    </row>
    <row r="274" spans="1:2" x14ac:dyDescent="0.25">
      <c r="A274" s="54">
        <v>44146</v>
      </c>
      <c r="B274" s="61">
        <v>71</v>
      </c>
    </row>
    <row r="275" spans="1:2" x14ac:dyDescent="0.25">
      <c r="A275" s="54">
        <v>44160</v>
      </c>
      <c r="B275" s="61">
        <v>9</v>
      </c>
    </row>
    <row r="276" spans="1:2" x14ac:dyDescent="0.25">
      <c r="A276" s="54">
        <v>44160</v>
      </c>
      <c r="B276" s="61">
        <v>6</v>
      </c>
    </row>
    <row r="277" spans="1:2" x14ac:dyDescent="0.25">
      <c r="A277" s="54">
        <v>44167</v>
      </c>
      <c r="B277" s="61">
        <v>1</v>
      </c>
    </row>
    <row r="278" spans="1:2" x14ac:dyDescent="0.25">
      <c r="A278" s="54">
        <v>44172</v>
      </c>
      <c r="B278" s="61">
        <v>1</v>
      </c>
    </row>
    <row r="279" spans="1:2" x14ac:dyDescent="0.25">
      <c r="A279" s="54">
        <v>44173</v>
      </c>
      <c r="B279" s="61">
        <v>44</v>
      </c>
    </row>
    <row r="280" spans="1:2" x14ac:dyDescent="0.25">
      <c r="A280" s="54">
        <v>44174</v>
      </c>
      <c r="B280" s="61">
        <v>18</v>
      </c>
    </row>
    <row r="281" spans="1:2" x14ac:dyDescent="0.25">
      <c r="A281" s="54">
        <v>44179</v>
      </c>
      <c r="B281" s="61">
        <v>44</v>
      </c>
    </row>
    <row r="282" spans="1:2" x14ac:dyDescent="0.25">
      <c r="A282" s="54">
        <v>44180</v>
      </c>
      <c r="B282" s="61">
        <v>3</v>
      </c>
    </row>
    <row r="283" spans="1:2" x14ac:dyDescent="0.25">
      <c r="A283" s="54">
        <v>44188</v>
      </c>
      <c r="B283" s="61">
        <f>1/3</f>
        <v>0.33333333333333331</v>
      </c>
    </row>
    <row r="284" spans="1:2" x14ac:dyDescent="0.25">
      <c r="A284" s="54">
        <v>44202</v>
      </c>
      <c r="B284" s="61">
        <v>6</v>
      </c>
    </row>
    <row r="285" spans="1:2" x14ac:dyDescent="0.25">
      <c r="A285" s="54">
        <v>44209</v>
      </c>
      <c r="B285" s="61">
        <v>7</v>
      </c>
    </row>
    <row r="286" spans="1:2" x14ac:dyDescent="0.25">
      <c r="A286" s="54">
        <v>44209</v>
      </c>
      <c r="B286" s="61">
        <v>7</v>
      </c>
    </row>
    <row r="287" spans="1:2" x14ac:dyDescent="0.25">
      <c r="A287" s="54">
        <v>44212</v>
      </c>
      <c r="B287" s="61">
        <v>26</v>
      </c>
    </row>
    <row r="288" spans="1:2" x14ac:dyDescent="0.25">
      <c r="A288" s="54">
        <v>44216</v>
      </c>
      <c r="B288" s="61">
        <v>9</v>
      </c>
    </row>
    <row r="289" spans="1:2" x14ac:dyDescent="0.25">
      <c r="A289" s="54">
        <v>44216</v>
      </c>
      <c r="B289" s="61">
        <v>9</v>
      </c>
    </row>
    <row r="290" spans="1:2" x14ac:dyDescent="0.25">
      <c r="A290" s="54">
        <v>44223</v>
      </c>
      <c r="B290" s="61">
        <v>3</v>
      </c>
    </row>
    <row r="291" spans="1:2" x14ac:dyDescent="0.25">
      <c r="A291" s="54">
        <v>44223</v>
      </c>
      <c r="B291" s="61">
        <v>3</v>
      </c>
    </row>
    <row r="292" spans="1:2" x14ac:dyDescent="0.25">
      <c r="A292" s="54">
        <v>44229</v>
      </c>
      <c r="B292" s="61">
        <v>15</v>
      </c>
    </row>
    <row r="293" spans="1:2" x14ac:dyDescent="0.25">
      <c r="A293" s="54">
        <v>44230</v>
      </c>
      <c r="B293" s="61">
        <v>15</v>
      </c>
    </row>
    <row r="294" spans="1:2" x14ac:dyDescent="0.25">
      <c r="A294" s="54">
        <v>44232</v>
      </c>
      <c r="B294" s="61">
        <v>15</v>
      </c>
    </row>
    <row r="295" spans="1:2" x14ac:dyDescent="0.25">
      <c r="A295" s="54">
        <v>44236</v>
      </c>
      <c r="B295" s="61">
        <v>1</v>
      </c>
    </row>
    <row r="296" spans="1:2" x14ac:dyDescent="0.25">
      <c r="A296" s="54">
        <v>44239</v>
      </c>
      <c r="B296" s="61">
        <v>1</v>
      </c>
    </row>
    <row r="297" spans="1:2" x14ac:dyDescent="0.25">
      <c r="A297" s="54">
        <v>44243</v>
      </c>
      <c r="B297" s="61">
        <v>12</v>
      </c>
    </row>
    <row r="298" spans="1:2" x14ac:dyDescent="0.25">
      <c r="A298" s="54">
        <v>44243</v>
      </c>
      <c r="B298" s="61">
        <v>12</v>
      </c>
    </row>
    <row r="299" spans="1:2" x14ac:dyDescent="0.25">
      <c r="A299" s="54">
        <v>44244</v>
      </c>
      <c r="B299" s="61">
        <v>2</v>
      </c>
    </row>
    <row r="300" spans="1:2" x14ac:dyDescent="0.25">
      <c r="A300" s="54">
        <v>44248</v>
      </c>
      <c r="B300" s="61">
        <v>66</v>
      </c>
    </row>
    <row r="301" spans="1:2" x14ac:dyDescent="0.25">
      <c r="A301" s="54">
        <v>44250</v>
      </c>
      <c r="B301" s="61">
        <v>66</v>
      </c>
    </row>
    <row r="302" spans="1:2" x14ac:dyDescent="0.25">
      <c r="A302" s="54">
        <v>44257</v>
      </c>
      <c r="B302" s="61">
        <v>13</v>
      </c>
    </row>
    <row r="303" spans="1:2" x14ac:dyDescent="0.25">
      <c r="A303" s="54">
        <v>44258</v>
      </c>
      <c r="B303" s="61">
        <v>9</v>
      </c>
    </row>
    <row r="304" spans="1:2" x14ac:dyDescent="0.25">
      <c r="A304" s="54">
        <v>44260</v>
      </c>
      <c r="B304" s="61">
        <v>13</v>
      </c>
    </row>
    <row r="305" spans="1:2" x14ac:dyDescent="0.25">
      <c r="A305" s="54">
        <v>44264</v>
      </c>
      <c r="B305" s="61">
        <v>12</v>
      </c>
    </row>
    <row r="306" spans="1:2" x14ac:dyDescent="0.25">
      <c r="A306" s="54">
        <v>44264</v>
      </c>
      <c r="B306" s="61">
        <v>12</v>
      </c>
    </row>
    <row r="307" spans="1:2" x14ac:dyDescent="0.25">
      <c r="A307" s="54">
        <v>44271</v>
      </c>
      <c r="B307" s="61">
        <v>4</v>
      </c>
    </row>
    <row r="308" spans="1:2" x14ac:dyDescent="0.25">
      <c r="A308" s="54">
        <v>44271</v>
      </c>
      <c r="B308" s="61">
        <v>4</v>
      </c>
    </row>
    <row r="309" spans="1:2" x14ac:dyDescent="0.25">
      <c r="A309" s="54">
        <v>44272</v>
      </c>
      <c r="B309" s="61">
        <v>3</v>
      </c>
    </row>
    <row r="310" spans="1:2" x14ac:dyDescent="0.25">
      <c r="A310" s="54">
        <v>44279</v>
      </c>
      <c r="B310" s="61">
        <v>2</v>
      </c>
    </row>
    <row r="311" spans="1:2" x14ac:dyDescent="0.25">
      <c r="A311" s="54">
        <v>44279</v>
      </c>
      <c r="B311" s="61">
        <v>2</v>
      </c>
    </row>
    <row r="312" spans="1:2" x14ac:dyDescent="0.25">
      <c r="A312" s="54">
        <v>44291</v>
      </c>
      <c r="B312" s="61">
        <v>17</v>
      </c>
    </row>
    <row r="313" spans="1:2" x14ac:dyDescent="0.25">
      <c r="A313" s="54">
        <v>44292</v>
      </c>
      <c r="B313" s="61">
        <v>21</v>
      </c>
    </row>
    <row r="314" spans="1:2" x14ac:dyDescent="0.25">
      <c r="A314" s="54">
        <v>44293</v>
      </c>
      <c r="B314" s="61">
        <v>2</v>
      </c>
    </row>
    <row r="315" spans="1:2" x14ac:dyDescent="0.25">
      <c r="A315" s="54">
        <v>44294</v>
      </c>
      <c r="B315" s="61">
        <v>10</v>
      </c>
    </row>
    <row r="316" spans="1:2" x14ac:dyDescent="0.25">
      <c r="A316" s="54">
        <v>44295</v>
      </c>
      <c r="B316" s="61">
        <v>0.33300000000000002</v>
      </c>
    </row>
    <row r="317" spans="1:2" x14ac:dyDescent="0.25">
      <c r="A317" s="54">
        <v>44296</v>
      </c>
      <c r="B317" s="61">
        <v>1</v>
      </c>
    </row>
    <row r="318" spans="1:2" x14ac:dyDescent="0.25">
      <c r="A318" s="54">
        <v>44300</v>
      </c>
      <c r="B318" s="61">
        <v>3</v>
      </c>
    </row>
    <row r="319" spans="1:2" x14ac:dyDescent="0.25">
      <c r="A319" s="54">
        <v>44321</v>
      </c>
      <c r="B319" s="61">
        <v>4</v>
      </c>
    </row>
    <row r="320" spans="1:2" x14ac:dyDescent="0.25">
      <c r="A320" s="54">
        <v>44328</v>
      </c>
      <c r="B320" s="61">
        <v>2</v>
      </c>
    </row>
    <row r="321" spans="1:2" x14ac:dyDescent="0.25">
      <c r="A321" s="54">
        <v>44384</v>
      </c>
      <c r="B321" s="61">
        <v>11</v>
      </c>
    </row>
    <row r="322" spans="1:2" x14ac:dyDescent="0.25">
      <c r="A322" s="54">
        <v>44412</v>
      </c>
      <c r="B322" s="61">
        <v>4</v>
      </c>
    </row>
    <row r="323" spans="1:2" x14ac:dyDescent="0.25">
      <c r="A323" s="54">
        <v>44426</v>
      </c>
      <c r="B323" s="61">
        <v>33</v>
      </c>
    </row>
    <row r="324" spans="1:2" x14ac:dyDescent="0.25">
      <c r="A324" s="54">
        <v>44427</v>
      </c>
      <c r="B324" s="61">
        <v>9</v>
      </c>
    </row>
    <row r="325" spans="1:2" x14ac:dyDescent="0.25">
      <c r="A325" s="54">
        <v>44428</v>
      </c>
      <c r="B325" s="61">
        <v>0.33300000000000002</v>
      </c>
    </row>
    <row r="326" spans="1:2" x14ac:dyDescent="0.25">
      <c r="A326" s="54">
        <v>44429</v>
      </c>
      <c r="B326" s="61">
        <v>0.33300000000000002</v>
      </c>
    </row>
    <row r="327" spans="1:2" x14ac:dyDescent="0.25">
      <c r="A327" s="54">
        <v>44430</v>
      </c>
      <c r="B327" s="61">
        <v>0.33300000000000002</v>
      </c>
    </row>
    <row r="328" spans="1:2" x14ac:dyDescent="0.25">
      <c r="A328" s="54">
        <v>44431</v>
      </c>
      <c r="B328" s="61">
        <v>11</v>
      </c>
    </row>
    <row r="329" spans="1:2" x14ac:dyDescent="0.25">
      <c r="A329" s="54">
        <v>44432</v>
      </c>
      <c r="B329" s="61">
        <v>2</v>
      </c>
    </row>
    <row r="330" spans="1:2" x14ac:dyDescent="0.25">
      <c r="A330" s="54">
        <v>44454</v>
      </c>
      <c r="B330" s="61">
        <f>1/3</f>
        <v>0.33333333333333331</v>
      </c>
    </row>
    <row r="331" spans="1:2" x14ac:dyDescent="0.25">
      <c r="A331" s="54">
        <v>44468</v>
      </c>
      <c r="B331" s="61">
        <v>1</v>
      </c>
    </row>
    <row r="332" spans="1:2" x14ac:dyDescent="0.25">
      <c r="A332" s="54">
        <v>44482</v>
      </c>
      <c r="B332" s="61">
        <v>29</v>
      </c>
    </row>
    <row r="333" spans="1:2" x14ac:dyDescent="0.25">
      <c r="A333" s="54">
        <v>44496</v>
      </c>
      <c r="B333" s="61">
        <f>1/3</f>
        <v>0.33333333333333331</v>
      </c>
    </row>
    <row r="334" spans="1:2" x14ac:dyDescent="0.25">
      <c r="A334" s="54">
        <v>44510</v>
      </c>
      <c r="B334" s="61">
        <v>4</v>
      </c>
    </row>
    <row r="335" spans="1:2" x14ac:dyDescent="0.25">
      <c r="A335" s="54">
        <v>44523</v>
      </c>
      <c r="B335" s="61">
        <v>5</v>
      </c>
    </row>
    <row r="336" spans="1:2" x14ac:dyDescent="0.25">
      <c r="A336" s="54">
        <v>44523</v>
      </c>
      <c r="B336" s="61">
        <v>5</v>
      </c>
    </row>
    <row r="337" spans="1:2" x14ac:dyDescent="0.25">
      <c r="A337" s="54">
        <v>44524</v>
      </c>
      <c r="B337" s="61">
        <v>30</v>
      </c>
    </row>
    <row r="338" spans="1:2" x14ac:dyDescent="0.25">
      <c r="A338" s="54">
        <v>44531</v>
      </c>
      <c r="B338" s="61">
        <v>4</v>
      </c>
    </row>
    <row r="339" spans="1:2" x14ac:dyDescent="0.25">
      <c r="A339" s="54">
        <v>44531</v>
      </c>
      <c r="B339" s="61">
        <v>4</v>
      </c>
    </row>
    <row r="340" spans="1:2" x14ac:dyDescent="0.25">
      <c r="A340" s="54">
        <v>44538</v>
      </c>
      <c r="B340" s="61">
        <v>8</v>
      </c>
    </row>
    <row r="341" spans="1:2" x14ac:dyDescent="0.25">
      <c r="A341" s="54">
        <v>44538</v>
      </c>
      <c r="B341" s="61">
        <f>10/3</f>
        <v>3.3333333333333335</v>
      </c>
    </row>
    <row r="342" spans="1:2" x14ac:dyDescent="0.25">
      <c r="A342" s="54">
        <v>44538</v>
      </c>
      <c r="B342" s="61">
        <v>8</v>
      </c>
    </row>
    <row r="343" spans="1:2" x14ac:dyDescent="0.25">
      <c r="A343" s="54">
        <v>44544</v>
      </c>
      <c r="B343" s="61">
        <v>12</v>
      </c>
    </row>
    <row r="344" spans="1:2" x14ac:dyDescent="0.25">
      <c r="A344" s="54">
        <v>44548</v>
      </c>
      <c r="B344" s="61">
        <v>20</v>
      </c>
    </row>
    <row r="345" spans="1:2" x14ac:dyDescent="0.25">
      <c r="A345" s="54">
        <v>44552</v>
      </c>
      <c r="B345" s="61">
        <v>100</v>
      </c>
    </row>
    <row r="346" spans="1:2" x14ac:dyDescent="0.25">
      <c r="A346" s="54">
        <v>44552</v>
      </c>
      <c r="B346" s="47">
        <v>4</v>
      </c>
    </row>
    <row r="347" spans="1:2" x14ac:dyDescent="0.25">
      <c r="A347" s="48">
        <v>44565</v>
      </c>
      <c r="B347" s="47">
        <v>11</v>
      </c>
    </row>
    <row r="348" spans="1:2" x14ac:dyDescent="0.25">
      <c r="A348" s="48">
        <v>44566</v>
      </c>
      <c r="B348" s="47">
        <f>10/3</f>
        <v>3.3333333333333335</v>
      </c>
    </row>
    <row r="349" spans="1:2" x14ac:dyDescent="0.25">
      <c r="A349" s="48">
        <v>44573</v>
      </c>
      <c r="B349" s="47">
        <v>3</v>
      </c>
    </row>
    <row r="350" spans="1:2" x14ac:dyDescent="0.25">
      <c r="A350" s="48">
        <v>44580</v>
      </c>
      <c r="B350" s="47">
        <v>80</v>
      </c>
    </row>
    <row r="351" spans="1:2" x14ac:dyDescent="0.25">
      <c r="A351" s="48">
        <v>44587</v>
      </c>
      <c r="B351" s="47">
        <v>2</v>
      </c>
    </row>
    <row r="352" spans="1:2" x14ac:dyDescent="0.25">
      <c r="A352" s="48">
        <v>44594</v>
      </c>
      <c r="B352" s="47">
        <v>18</v>
      </c>
    </row>
    <row r="353" spans="1:2" x14ac:dyDescent="0.25">
      <c r="A353" s="48">
        <v>44594</v>
      </c>
      <c r="B353" s="47">
        <v>40</v>
      </c>
    </row>
    <row r="354" spans="1:2" x14ac:dyDescent="0.25">
      <c r="A354" s="48">
        <v>44623</v>
      </c>
      <c r="B354" s="47">
        <v>15</v>
      </c>
    </row>
    <row r="355" spans="1:2" x14ac:dyDescent="0.25">
      <c r="A355" s="48">
        <v>44635</v>
      </c>
      <c r="B355" s="47">
        <v>1</v>
      </c>
    </row>
    <row r="356" spans="1:2" x14ac:dyDescent="0.25">
      <c r="A356" s="48">
        <v>44645</v>
      </c>
      <c r="B356" s="47">
        <v>102</v>
      </c>
    </row>
    <row r="357" spans="1:2" x14ac:dyDescent="0.25">
      <c r="A357" s="48">
        <v>44651</v>
      </c>
      <c r="B357" s="47">
        <v>37</v>
      </c>
    </row>
    <row r="358" spans="1:2" x14ac:dyDescent="0.25">
      <c r="A358" s="48">
        <v>44894</v>
      </c>
      <c r="B358" s="47">
        <v>11</v>
      </c>
    </row>
    <row r="359" spans="1:2" x14ac:dyDescent="0.25">
      <c r="A359" s="48">
        <v>44902</v>
      </c>
      <c r="B359" s="47">
        <v>12</v>
      </c>
    </row>
    <row r="360" spans="1:2" x14ac:dyDescent="0.25">
      <c r="A360" s="48">
        <v>44909</v>
      </c>
      <c r="B360" s="47">
        <v>10</v>
      </c>
    </row>
    <row r="361" spans="1:2" x14ac:dyDescent="0.25">
      <c r="A361" s="48">
        <v>44915</v>
      </c>
      <c r="B361" s="47">
        <v>12</v>
      </c>
    </row>
    <row r="362" spans="1:2" x14ac:dyDescent="0.25">
      <c r="A362" s="48">
        <v>44930</v>
      </c>
      <c r="B362" s="47">
        <v>1</v>
      </c>
    </row>
    <row r="363" spans="1:2" x14ac:dyDescent="0.25">
      <c r="A363" s="48">
        <v>44936</v>
      </c>
      <c r="B363" s="47">
        <v>8</v>
      </c>
    </row>
    <row r="364" spans="1:2" x14ac:dyDescent="0.25">
      <c r="A364" s="48">
        <v>44944</v>
      </c>
      <c r="B364" s="47">
        <v>317</v>
      </c>
    </row>
    <row r="365" spans="1:2" x14ac:dyDescent="0.25">
      <c r="A365" s="48">
        <v>44950</v>
      </c>
      <c r="B365" s="47">
        <v>62</v>
      </c>
    </row>
    <row r="366" spans="1:2" x14ac:dyDescent="0.25">
      <c r="A366" s="48">
        <v>44957</v>
      </c>
      <c r="B366" s="47">
        <v>5</v>
      </c>
    </row>
    <row r="367" spans="1:2" x14ac:dyDescent="0.25">
      <c r="A367" s="48">
        <v>44972</v>
      </c>
      <c r="B367" s="47">
        <v>816</v>
      </c>
    </row>
    <row r="368" spans="1:2" x14ac:dyDescent="0.25">
      <c r="A368" s="48">
        <v>44973</v>
      </c>
      <c r="B368" s="47">
        <v>107</v>
      </c>
    </row>
    <row r="369" spans="1:2" x14ac:dyDescent="0.25">
      <c r="A369" s="48">
        <v>44986</v>
      </c>
      <c r="B369" s="47">
        <v>2419</v>
      </c>
    </row>
    <row r="370" spans="1:2" x14ac:dyDescent="0.25">
      <c r="A370" s="48">
        <v>45008</v>
      </c>
      <c r="B370" s="47">
        <v>102</v>
      </c>
    </row>
    <row r="371" spans="1:2" x14ac:dyDescent="0.25">
      <c r="A371" s="48">
        <v>45013</v>
      </c>
      <c r="B371" s="47">
        <v>14</v>
      </c>
    </row>
    <row r="372" spans="1:2" x14ac:dyDescent="0.25">
      <c r="A372" s="48">
        <v>45210</v>
      </c>
      <c r="B372" s="47">
        <f>1/3</f>
        <v>0.33333333333333331</v>
      </c>
    </row>
    <row r="373" spans="1:2" x14ac:dyDescent="0.25">
      <c r="A373" s="48">
        <v>45238</v>
      </c>
      <c r="B373" s="47">
        <f>1/3</f>
        <v>0.33333333333333331</v>
      </c>
    </row>
    <row r="374" spans="1:2" x14ac:dyDescent="0.25">
      <c r="A374" s="48">
        <v>45258</v>
      </c>
      <c r="B374" s="47">
        <f>1/3</f>
        <v>0.33333333333333331</v>
      </c>
    </row>
    <row r="375" spans="1:2" x14ac:dyDescent="0.25">
      <c r="A375" s="48">
        <v>45266</v>
      </c>
      <c r="B375" s="47">
        <v>10</v>
      </c>
    </row>
    <row r="376" spans="1:2" x14ac:dyDescent="0.25">
      <c r="A376" s="48">
        <v>45267</v>
      </c>
      <c r="B376" s="47">
        <v>16</v>
      </c>
    </row>
    <row r="377" spans="1:2" x14ac:dyDescent="0.25">
      <c r="A377" s="48">
        <v>45273</v>
      </c>
      <c r="B377" s="47">
        <f>1/3</f>
        <v>0.33333333333333331</v>
      </c>
    </row>
    <row r="378" spans="1:2" x14ac:dyDescent="0.25">
      <c r="A378" s="48">
        <v>45279</v>
      </c>
      <c r="B378" s="47">
        <f>1/3</f>
        <v>0.33333333333333331</v>
      </c>
    </row>
    <row r="379" spans="1:2" x14ac:dyDescent="0.25">
      <c r="A379" s="48">
        <v>45294</v>
      </c>
      <c r="B379" s="47">
        <f>1/3</f>
        <v>0.33333333333333331</v>
      </c>
    </row>
    <row r="380" spans="1:2" x14ac:dyDescent="0.25">
      <c r="A380" s="48">
        <v>45294</v>
      </c>
      <c r="B380" s="47">
        <v>1</v>
      </c>
    </row>
    <row r="381" spans="1:2" x14ac:dyDescent="0.25">
      <c r="A381" s="48">
        <v>45300</v>
      </c>
      <c r="B381" s="47">
        <f>1/3</f>
        <v>0.33333333333333331</v>
      </c>
    </row>
    <row r="382" spans="1:2" x14ac:dyDescent="0.25">
      <c r="A382" s="48">
        <v>45307</v>
      </c>
      <c r="B382" s="47">
        <v>28</v>
      </c>
    </row>
    <row r="383" spans="1:2" x14ac:dyDescent="0.25">
      <c r="A383" s="48">
        <v>45314</v>
      </c>
      <c r="B383" s="47">
        <v>3</v>
      </c>
    </row>
    <row r="384" spans="1:2" x14ac:dyDescent="0.25">
      <c r="A384" s="48">
        <v>45321</v>
      </c>
      <c r="B384" s="47">
        <v>9</v>
      </c>
    </row>
    <row r="385" spans="1:2" x14ac:dyDescent="0.25">
      <c r="A385" s="48">
        <v>45328</v>
      </c>
      <c r="B385" s="47">
        <f>1/3</f>
        <v>0.33333333333333331</v>
      </c>
    </row>
    <row r="386" spans="1:2" x14ac:dyDescent="0.25">
      <c r="A386" s="48">
        <v>45335</v>
      </c>
      <c r="B386" s="47">
        <v>57</v>
      </c>
    </row>
    <row r="387" spans="1:2" x14ac:dyDescent="0.25">
      <c r="A387" s="48">
        <v>45336</v>
      </c>
      <c r="B387" s="47">
        <f>1/3</f>
        <v>0.33333333333333331</v>
      </c>
    </row>
    <row r="388" spans="1:2" x14ac:dyDescent="0.25">
      <c r="A388" s="48">
        <v>45342</v>
      </c>
      <c r="B388" s="47">
        <v>5</v>
      </c>
    </row>
    <row r="389" spans="1:2" x14ac:dyDescent="0.25">
      <c r="A389" s="48">
        <v>45349</v>
      </c>
      <c r="B389" s="47">
        <v>98</v>
      </c>
    </row>
    <row r="390" spans="1:2" x14ac:dyDescent="0.25">
      <c r="A390" s="48">
        <v>45356</v>
      </c>
      <c r="B390" s="47">
        <v>13</v>
      </c>
    </row>
    <row r="391" spans="1:2" x14ac:dyDescent="0.25">
      <c r="A391" s="48">
        <v>45369</v>
      </c>
      <c r="B391" s="47">
        <v>29</v>
      </c>
    </row>
    <row r="392" spans="1:2" x14ac:dyDescent="0.25">
      <c r="A392" s="48">
        <v>45370</v>
      </c>
      <c r="B392" s="47">
        <f>1/3</f>
        <v>0.33333333333333331</v>
      </c>
    </row>
    <row r="393" spans="1:2" x14ac:dyDescent="0.25">
      <c r="A393" s="48">
        <v>45378</v>
      </c>
      <c r="B393" s="47">
        <f>1/3</f>
        <v>0.33333333333333331</v>
      </c>
    </row>
    <row r="394" spans="1:2" x14ac:dyDescent="0.25">
      <c r="A394" s="48">
        <v>45420</v>
      </c>
      <c r="B394" s="47">
        <v>1</v>
      </c>
    </row>
    <row r="395" spans="1:2" x14ac:dyDescent="0.25">
      <c r="A395" s="48">
        <v>45448</v>
      </c>
      <c r="B395" s="47">
        <v>16</v>
      </c>
    </row>
    <row r="396" spans="1:2" x14ac:dyDescent="0.25">
      <c r="A396" s="48">
        <v>45478</v>
      </c>
      <c r="B396" s="47">
        <v>25</v>
      </c>
    </row>
    <row r="397" spans="1:2" x14ac:dyDescent="0.25">
      <c r="A397" s="48">
        <v>45518</v>
      </c>
      <c r="B397" s="47">
        <v>1120</v>
      </c>
    </row>
    <row r="398" spans="1:2" x14ac:dyDescent="0.25">
      <c r="A398" s="48">
        <v>45546</v>
      </c>
      <c r="B398" s="47">
        <f>10/3</f>
        <v>3.3333333333333335</v>
      </c>
    </row>
    <row r="399" spans="1:2" x14ac:dyDescent="0.25">
      <c r="A399" s="48">
        <v>45560</v>
      </c>
      <c r="B399" s="47">
        <f>10/3</f>
        <v>3.3333333333333335</v>
      </c>
    </row>
    <row r="400" spans="1:2" x14ac:dyDescent="0.25">
      <c r="A400" s="48">
        <v>45574</v>
      </c>
      <c r="B400" s="47">
        <f>10/3</f>
        <v>3.3333333333333335</v>
      </c>
    </row>
    <row r="401" spans="1:2" x14ac:dyDescent="0.25">
      <c r="A401" s="48">
        <v>45588</v>
      </c>
      <c r="B401" s="47">
        <f>10/3</f>
        <v>3.3333333333333335</v>
      </c>
    </row>
    <row r="402" spans="1:2" x14ac:dyDescent="0.25">
      <c r="A402" s="48">
        <v>45602</v>
      </c>
      <c r="B402" s="47">
        <f>10/3</f>
        <v>3.3333333333333335</v>
      </c>
    </row>
    <row r="403" spans="1:2" x14ac:dyDescent="0.25">
      <c r="A403" s="48">
        <v>45615</v>
      </c>
      <c r="B403" s="47">
        <v>0</v>
      </c>
    </row>
    <row r="404" spans="1:2" x14ac:dyDescent="0.25">
      <c r="A404" s="48">
        <v>45616</v>
      </c>
      <c r="B404" s="47">
        <v>14</v>
      </c>
    </row>
    <row r="405" spans="1:2" x14ac:dyDescent="0.25">
      <c r="A405" s="48">
        <v>45622</v>
      </c>
      <c r="B405" s="47">
        <v>16</v>
      </c>
    </row>
    <row r="406" spans="1:2" x14ac:dyDescent="0.25">
      <c r="A406" s="48">
        <v>45629</v>
      </c>
      <c r="B406" s="47">
        <v>2</v>
      </c>
    </row>
    <row r="407" spans="1:2" x14ac:dyDescent="0.25">
      <c r="A407" s="48">
        <v>45629</v>
      </c>
      <c r="B407" s="47">
        <v>16</v>
      </c>
    </row>
    <row r="408" spans="1:2" x14ac:dyDescent="0.25">
      <c r="A408" s="48">
        <v>45635</v>
      </c>
      <c r="B408" s="47">
        <v>15</v>
      </c>
    </row>
    <row r="409" spans="1:2" x14ac:dyDescent="0.25">
      <c r="A409" s="48">
        <v>45636</v>
      </c>
      <c r="B409" s="47">
        <v>13</v>
      </c>
    </row>
    <row r="410" spans="1:2" x14ac:dyDescent="0.25">
      <c r="A410" s="48">
        <v>45644</v>
      </c>
      <c r="B410" s="47">
        <v>3</v>
      </c>
    </row>
    <row r="411" spans="1:2" x14ac:dyDescent="0.25">
      <c r="A411" s="48">
        <v>45645</v>
      </c>
      <c r="B411" s="47">
        <f>1/3</f>
        <v>0.33333333333333331</v>
      </c>
    </row>
    <row r="412" spans="1:2" x14ac:dyDescent="0.25">
      <c r="A412" s="48">
        <v>45649</v>
      </c>
      <c r="B412" s="47">
        <v>13</v>
      </c>
    </row>
    <row r="413" spans="1:2" x14ac:dyDescent="0.25">
      <c r="A413" s="48">
        <v>45657</v>
      </c>
      <c r="B413" s="47">
        <v>48</v>
      </c>
    </row>
    <row r="414" spans="1:2" x14ac:dyDescent="0.25">
      <c r="A414" s="48">
        <v>45664</v>
      </c>
      <c r="B414" s="47">
        <f>1/3</f>
        <v>0.33333333333333331</v>
      </c>
    </row>
    <row r="415" spans="1:2" x14ac:dyDescent="0.25">
      <c r="A415" s="48">
        <v>45664</v>
      </c>
      <c r="B415" s="47">
        <v>2</v>
      </c>
    </row>
    <row r="416" spans="1:2" x14ac:dyDescent="0.25">
      <c r="A416" s="48">
        <v>45671</v>
      </c>
      <c r="B416" s="47">
        <f>1/3</f>
        <v>0.33333333333333331</v>
      </c>
    </row>
    <row r="417" spans="1:2" x14ac:dyDescent="0.25">
      <c r="A417" s="48">
        <v>45671</v>
      </c>
      <c r="B417" s="47">
        <v>5</v>
      </c>
    </row>
    <row r="418" spans="1:2" x14ac:dyDescent="0.25">
      <c r="A418" s="48">
        <v>45678</v>
      </c>
      <c r="B418" s="47">
        <f>1/3</f>
        <v>0.33333333333333331</v>
      </c>
    </row>
    <row r="419" spans="1:2" x14ac:dyDescent="0.25">
      <c r="A419" s="48">
        <v>45678</v>
      </c>
      <c r="B419" s="47">
        <v>16</v>
      </c>
    </row>
    <row r="420" spans="1:2" x14ac:dyDescent="0.25">
      <c r="A420" s="48">
        <v>45685</v>
      </c>
      <c r="B420" s="47">
        <v>83</v>
      </c>
    </row>
    <row r="421" spans="1:2" x14ac:dyDescent="0.25">
      <c r="A421" s="48">
        <v>45686</v>
      </c>
      <c r="B421" s="47">
        <v>88</v>
      </c>
    </row>
    <row r="422" spans="1:2" x14ac:dyDescent="0.25">
      <c r="A422" s="48">
        <v>45692</v>
      </c>
      <c r="B422" s="47">
        <v>1</v>
      </c>
    </row>
    <row r="423" spans="1:2" x14ac:dyDescent="0.25">
      <c r="A423" s="48">
        <v>45692</v>
      </c>
      <c r="B423" s="47">
        <v>0</v>
      </c>
    </row>
    <row r="424" spans="1:2" x14ac:dyDescent="0.25">
      <c r="A424" s="48">
        <v>45699</v>
      </c>
      <c r="B424" s="47">
        <v>7</v>
      </c>
    </row>
    <row r="425" spans="1:2" x14ac:dyDescent="0.25">
      <c r="A425" s="48">
        <v>45699</v>
      </c>
      <c r="B425" s="47">
        <v>11</v>
      </c>
    </row>
    <row r="426" spans="1:2" x14ac:dyDescent="0.25">
      <c r="A426" s="48">
        <v>45706</v>
      </c>
      <c r="B426" s="47">
        <v>3</v>
      </c>
    </row>
    <row r="427" spans="1:2" x14ac:dyDescent="0.25">
      <c r="A427" s="48">
        <v>45713</v>
      </c>
      <c r="B427" s="47">
        <v>24</v>
      </c>
    </row>
    <row r="428" spans="1:2" x14ac:dyDescent="0.25">
      <c r="A428" s="48">
        <v>45714</v>
      </c>
      <c r="B428" s="47">
        <v>0</v>
      </c>
    </row>
    <row r="429" spans="1:2" x14ac:dyDescent="0.25">
      <c r="A429" s="48">
        <v>45720</v>
      </c>
      <c r="B429" s="47">
        <v>7</v>
      </c>
    </row>
    <row r="430" spans="1:2" x14ac:dyDescent="0.25">
      <c r="A430" s="48">
        <v>45727</v>
      </c>
      <c r="B430" s="47">
        <v>122</v>
      </c>
    </row>
    <row r="431" spans="1:2" x14ac:dyDescent="0.25">
      <c r="A431" s="48">
        <v>45734</v>
      </c>
      <c r="B431" s="47">
        <v>14</v>
      </c>
    </row>
  </sheetData>
  <sortState ref="A2:B431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46:B61 B1:B38 B159:B170 B193 B115:B126 B172:B176 B201 B242:B243 B78:B107 B141:B142 B179 B188 B247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085D22-9B79-4372-A474-71E3862776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485FAE-525B-4A59-9A08-D05E875C24E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55F96C3-AE75-483F-A26B-EAF409B99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2025-03-24T13:08:49Z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