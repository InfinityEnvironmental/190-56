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3" l="1"/>
  <c r="B23" i="3" l="1"/>
  <c r="B20" i="3" l="1"/>
  <c r="B18" i="2" l="1"/>
  <c r="B17" i="3" l="1"/>
  <c r="B17" i="2"/>
  <c r="B16" i="2" l="1"/>
  <c r="B12" i="2" l="1"/>
  <c r="B7" i="2" l="1"/>
  <c r="B6" i="3" l="1"/>
  <c r="B6" i="2"/>
  <c r="B5" i="3" l="1"/>
  <c r="B5" i="2"/>
  <c r="B4" i="3" l="1"/>
  <c r="B3" i="3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<sst xmlns="http://schemas.openxmlformats.org/spreadsheetml/2006/main" count="53" uniqueCount="32">
  <si>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</si>
  <si>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</si>
  <si>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</si>
  <si>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</si>
  <si>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</si>
  <si>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</si>
  <si>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</si>
  <si>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</si>
  <si>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</si>
  <si>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</si>
  <si>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</si>
  <si>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</si>
  <si>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</si>
  <si>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</si>
  <si>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</si>
  <si>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</si>
  <si>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</si>
  <si>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Strand (water slide beach road)</t>
  </si>
  <si>
    <t>Not Enough Data</t>
  </si>
  <si>
    <t>Poor</t>
  </si>
  <si>
    <t>Excellent</t>
  </si>
  <si>
    <t>3280/935</t>
  </si>
  <si>
    <t>32/-</t>
  </si>
  <si>
    <t>2857/1288</t>
  </si>
  <si>
    <t>4884/3652</t>
  </si>
  <si>
    <t>3522/1933</t>
  </si>
  <si>
    <t>4391/2666</t>
  </si>
  <si>
    <t>320/193</t>
  </si>
  <si>
    <t>Sufficient</t>
  </si>
  <si>
    <t>256/66</t>
  </si>
  <si>
    <t>210/79</t>
  </si>
  <si>
    <t>231/65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</si>
</sst>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3">
    <xf numFmtId="0" fontId="0" fillId="0" borderId="0" xfId="0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165" fontId="0" fillId="0" borderId="0" xfId="0" applyNumberFormat="1" applyFont="1" applyFill="1" applyAlignment="1"/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59" t="s">
        <v>17</v>
      </c>
      <c r="D3" s="59"/>
      <c r="E3" s="59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59"/>
      <c r="D4" s="59"/>
      <c r="E4" s="59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60"/>
      <c r="E6" s="60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60"/>
      <c r="E7" s="60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60"/>
      <c r="E8" s="60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60">
        <v>12</v>
      </c>
      <c r="E9" s="60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61">
        <f ca="1">TODAY()</f>
        <v>45741</v>
      </c>
      <c r="E11" s="61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61">
        <f>MAX(MAX('Escherichia coli'!A:A),MAX('Faecal streptococci'!A:A))</f>
        <v>45728</v>
      </c>
      <c r="E12" s="61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62">
        <f ca="1">YEAR(D11)+(MONTH(D11)&gt;=D9)</f>
        <v>2025</v>
      </c>
      <c r="E13" s="62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61" t="str">
        <f ca="1">CONCATENATE(TEXT(DATE(D13-1,D9,1), "yyyy/mm/dd")," - ",TEXT(D11,"yyyy/mm/dd"))</f>
        <v>2024/12/01 - 2025/03/25</v>
      </c>
      <c r="E14" s="61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61" t="str">
        <f ca="1">CONCATENATE(TEXT(DATE(D13-5,D9,1), "yyyy/mm/dd")," - ",TEXT(D11,"yyyy/mm/dd"))</f>
        <v>2020/12/01 - 2025/03/25</v>
      </c>
      <c r="E15" s="61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18</v>
      </c>
      <c r="E18" s="29"/>
      <c r="F18" s="25" t="s">
        <v>28</v>
      </c>
      <c r="G18" s="29" t="s">
        <v>29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19</v>
      </c>
      <c r="E19" s="42" t="s">
        <v>25</v>
      </c>
      <c r="F19" s="25" t="s">
        <v>28</v>
      </c>
      <c r="G19" s="42" t="s">
        <v>30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18</v>
      </c>
      <c r="E20" s="42"/>
      <c r="F20" s="25" t="s">
        <v>28</v>
      </c>
      <c r="G20" s="42" t="s">
        <v>31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19</v>
      </c>
      <c r="E21" s="42" t="s">
        <v>24</v>
      </c>
      <c r="F21" s="25" t="s">
        <v>19</v>
      </c>
      <c r="G21" s="42" t="s">
        <v>27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18</v>
      </c>
      <c r="E22" s="42"/>
      <c r="F22" s="25" t="s">
        <v>28</v>
      </c>
      <c r="G22" s="42" t="s">
        <v>29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18</v>
      </c>
      <c r="E23" s="42"/>
      <c r="F23" s="25" t="s">
        <v>18</v>
      </c>
      <c r="G23" s="42"/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19</v>
      </c>
      <c r="E24" s="42" t="s">
        <v>26</v>
      </c>
      <c r="F24" s="25" t="s">
        <v>18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19</v>
      </c>
      <c r="E25" s="42" t="s">
        <v>23</v>
      </c>
      <c r="F25" s="25" t="s">
        <v>18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19</v>
      </c>
      <c r="E26" s="29" t="s">
        <v>21</v>
      </c>
      <c r="F26" s="26" t="s">
        <v>20</v>
      </c>
      <c r="G26" s="29" t="s">
        <v>22</v>
      </c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18</v>
      </c>
      <c r="E27" s="10"/>
      <c r="F27" s="27" t="s">
        <v>18</v>
      </c>
      <c r="G27" s="22"/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18</v>
      </c>
      <c r="E28" s="10"/>
      <c r="F28" s="27" t="s">
        <v>18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26" activePane="bottomLeft" state="frozen"/>
      <selection pane="bottomLeft" activeCell="A43" sqref="A43"/>
    </sheetView>
  </sheetViews>
  <sheetFormatPr defaultRowHeight="15"/>
  <cols>
    <col min="1" max="1" width="29.85546875" style="54" bestFit="1" customWidth="1"/>
    <col min="2" max="2" width="10.7109375" style="55" customWidth="1"/>
  </cols>
  <sheetData>
    <row r="1" spans="1:2" s="1" customFormat="1">
      <c r="A1" s="49" t="s">
        <v>0</v>
      </c>
      <c r="B1" s="1" t="s">
        <v>1</v>
      </c>
    </row>
    <row r="2" spans="1:2" s="1" customFormat="1">
      <c r="A2" s="48">
        <v>44117</v>
      </c>
      <c r="B2" s="47">
        <f>2/3</f>
        <v>0.66666666666666663</v>
      </c>
    </row>
    <row r="3" spans="1:2" s="1" customFormat="1">
      <c r="A3" s="48">
        <v>44131</v>
      </c>
      <c r="B3" s="47">
        <v>8</v>
      </c>
    </row>
    <row r="4" spans="1:2" s="1" customFormat="1">
      <c r="A4" s="48">
        <v>44166</v>
      </c>
      <c r="B4" s="47">
        <v>3</v>
      </c>
    </row>
    <row r="5" spans="1:2" s="1" customFormat="1">
      <c r="A5" s="48">
        <v>44187</v>
      </c>
      <c r="B5" s="47">
        <f>2/3</f>
        <v>0.66666666666666663</v>
      </c>
    </row>
    <row r="6" spans="1:2" s="1" customFormat="1">
      <c r="A6" s="48">
        <v>44229</v>
      </c>
      <c r="B6" s="47">
        <f>2/3</f>
        <v>0.66666666666666663</v>
      </c>
    </row>
    <row r="7" spans="1:2" s="1" customFormat="1">
      <c r="A7" s="48">
        <v>44257</v>
      </c>
      <c r="B7" s="47">
        <f>2/3</f>
        <v>0.66666666666666663</v>
      </c>
    </row>
    <row r="8" spans="1:2" s="1" customFormat="1">
      <c r="A8" s="48">
        <v>44271</v>
      </c>
      <c r="B8" s="47">
        <v>22</v>
      </c>
    </row>
    <row r="9" spans="1:2" s="1" customFormat="1">
      <c r="A9" s="48">
        <v>44299</v>
      </c>
      <c r="B9" s="47">
        <v>54</v>
      </c>
    </row>
    <row r="10" spans="1:2" s="1" customFormat="1">
      <c r="A10" s="48">
        <v>44320</v>
      </c>
      <c r="B10" s="47">
        <v>250</v>
      </c>
    </row>
    <row r="11" spans="1:2" s="1" customFormat="1">
      <c r="A11" s="48">
        <v>44411</v>
      </c>
      <c r="B11" s="47">
        <v>3950</v>
      </c>
    </row>
    <row r="12" spans="1:2" s="1" customFormat="1">
      <c r="A12" s="48">
        <v>44425</v>
      </c>
      <c r="B12" s="47">
        <f>200*3</f>
        <v>600</v>
      </c>
    </row>
    <row r="13" spans="1:2" s="1" customFormat="1">
      <c r="A13" s="48">
        <v>44453</v>
      </c>
      <c r="B13" s="47">
        <v>76</v>
      </c>
    </row>
    <row r="14" spans="1:2" s="1" customFormat="1">
      <c r="A14" s="48">
        <v>44467</v>
      </c>
      <c r="B14" s="47">
        <v>66</v>
      </c>
    </row>
    <row r="15" spans="1:2" s="1" customFormat="1">
      <c r="A15" s="48">
        <v>44481</v>
      </c>
      <c r="B15" s="47">
        <v>96</v>
      </c>
    </row>
    <row r="16" spans="1:2" s="1" customFormat="1">
      <c r="A16" s="48">
        <v>44495</v>
      </c>
      <c r="B16" s="47">
        <f>200*3</f>
        <v>600</v>
      </c>
    </row>
    <row r="17" spans="1:2" s="1" customFormat="1">
      <c r="A17" s="48">
        <v>44523</v>
      </c>
      <c r="B17" s="47">
        <f>10/3</f>
        <v>3.3333333333333335</v>
      </c>
    </row>
    <row r="18" spans="1:2" s="1" customFormat="1">
      <c r="A18" s="48">
        <v>44573</v>
      </c>
      <c r="B18" s="47">
        <f>1000*3</f>
        <v>3000</v>
      </c>
    </row>
    <row r="19" spans="1:2" s="1" customFormat="1">
      <c r="A19" s="48">
        <v>44579</v>
      </c>
      <c r="B19" s="47">
        <v>50</v>
      </c>
    </row>
    <row r="20" spans="1:2" s="1" customFormat="1">
      <c r="A20" s="48">
        <v>44635</v>
      </c>
      <c r="B20" s="47">
        <v>146</v>
      </c>
    </row>
    <row r="21" spans="1:2" s="1" customFormat="1">
      <c r="A21" s="48">
        <v>44705</v>
      </c>
      <c r="B21" s="47">
        <v>16</v>
      </c>
    </row>
    <row r="22" spans="1:2" s="1" customFormat="1">
      <c r="A22" s="48">
        <v>44719</v>
      </c>
      <c r="B22" s="47">
        <v>121</v>
      </c>
    </row>
    <row r="23" spans="1:2" s="1" customFormat="1">
      <c r="A23" s="48">
        <v>44733</v>
      </c>
      <c r="B23" s="47">
        <v>119</v>
      </c>
    </row>
    <row r="24" spans="1:2" s="1" customFormat="1">
      <c r="A24" s="48">
        <v>44747</v>
      </c>
      <c r="B24" s="47">
        <v>10</v>
      </c>
    </row>
    <row r="25" spans="1:2">
      <c r="A25" s="48">
        <v>44761</v>
      </c>
      <c r="B25" s="47">
        <v>60</v>
      </c>
    </row>
    <row r="26" spans="1:2">
      <c r="A26" s="48">
        <v>44770</v>
      </c>
      <c r="B26" s="47">
        <v>30</v>
      </c>
    </row>
    <row r="27" spans="1:2">
      <c r="A27" s="48">
        <v>44803</v>
      </c>
      <c r="B27" s="47">
        <v>120</v>
      </c>
    </row>
    <row r="28" spans="1:2">
      <c r="A28" s="48">
        <v>44817</v>
      </c>
      <c r="B28" s="47">
        <v>60</v>
      </c>
    </row>
    <row r="29" spans="1:2">
      <c r="A29" s="48">
        <v>44943</v>
      </c>
      <c r="B29" s="47">
        <v>326</v>
      </c>
    </row>
    <row r="30" spans="1:2">
      <c r="A30" s="48">
        <v>44957</v>
      </c>
      <c r="B30" s="47">
        <v>214</v>
      </c>
    </row>
    <row r="31" spans="1:2">
      <c r="A31" s="48">
        <v>44999</v>
      </c>
      <c r="B31" s="47">
        <v>10</v>
      </c>
    </row>
    <row r="32" spans="1:2">
      <c r="A32" s="48">
        <v>45027</v>
      </c>
      <c r="B32" s="47">
        <v>1046</v>
      </c>
    </row>
    <row r="33" spans="1:2">
      <c r="A33" s="48">
        <v>45041</v>
      </c>
      <c r="B33" s="47">
        <v>816</v>
      </c>
    </row>
    <row r="34" spans="1:2">
      <c r="A34" s="48">
        <v>45055</v>
      </c>
      <c r="B34" s="47">
        <v>365</v>
      </c>
    </row>
    <row r="35" spans="1:2">
      <c r="A35" s="48">
        <v>45069</v>
      </c>
      <c r="B35" s="47">
        <v>1203</v>
      </c>
    </row>
    <row r="36" spans="1:2">
      <c r="A36" s="48">
        <v>45083</v>
      </c>
      <c r="B36" s="47">
        <v>285</v>
      </c>
    </row>
    <row r="37" spans="1:2">
      <c r="A37" s="48">
        <v>45097</v>
      </c>
      <c r="B37" s="50">
        <v>4884</v>
      </c>
    </row>
    <row r="38" spans="1:2">
      <c r="A38" s="48">
        <v>45125</v>
      </c>
      <c r="B38" s="50">
        <v>89</v>
      </c>
    </row>
    <row r="39" spans="1:2">
      <c r="A39" s="48">
        <v>45139</v>
      </c>
      <c r="B39" s="50">
        <v>2420</v>
      </c>
    </row>
    <row r="40" spans="1:2">
      <c r="A40" s="48">
        <v>45160</v>
      </c>
      <c r="B40" s="50">
        <v>32</v>
      </c>
    </row>
    <row r="41" spans="1:2">
      <c r="A41" s="48">
        <v>45174</v>
      </c>
      <c r="B41" s="50">
        <v>15</v>
      </c>
    </row>
    <row r="42" spans="1:2">
      <c r="A42" s="48">
        <v>45188</v>
      </c>
      <c r="B42" s="50">
        <v>56</v>
      </c>
    </row>
    <row r="43" spans="1:2">
      <c r="A43" s="56"/>
      <c r="B43" s="50"/>
    </row>
    <row r="44" spans="1:2">
      <c r="A44" s="56"/>
      <c r="B44" s="50"/>
    </row>
    <row r="45" spans="1:2">
      <c r="A45" s="56"/>
      <c r="B45" s="50"/>
    </row>
    <row r="46" spans="1:2">
      <c r="A46" s="56"/>
      <c r="B46" s="50"/>
    </row>
    <row r="47" spans="1:2">
      <c r="A47" s="56"/>
      <c r="B47" s="50"/>
    </row>
    <row r="48" spans="1:2">
      <c r="A48" s="56"/>
      <c r="B48" s="50"/>
    </row>
    <row r="49" spans="1:2">
      <c r="A49" s="56"/>
      <c r="B49" s="50"/>
    </row>
    <row r="50" spans="1:2">
      <c r="A50" s="56"/>
      <c r="B50" s="50"/>
    </row>
    <row r="51" spans="1:2">
      <c r="A51" s="56"/>
      <c r="B51" s="50"/>
    </row>
    <row r="52" spans="1:2">
      <c r="A52" s="56"/>
      <c r="B52" s="50"/>
    </row>
    <row r="53" spans="1:2">
      <c r="A53" s="56"/>
      <c r="B53" s="50"/>
    </row>
    <row r="54" spans="1:2">
      <c r="A54" s="56"/>
      <c r="B54" s="50"/>
    </row>
    <row r="55" spans="1:2">
      <c r="A55" s="56"/>
      <c r="B55" s="50"/>
    </row>
    <row r="56" spans="1:2">
      <c r="A56" s="56"/>
      <c r="B56" s="50"/>
    </row>
    <row r="57" spans="1:2">
      <c r="A57" s="56"/>
      <c r="B57" s="50"/>
    </row>
    <row r="58" spans="1:2">
      <c r="A58" s="56"/>
      <c r="B58" s="50"/>
    </row>
    <row r="59" spans="1:2">
      <c r="A59" s="56"/>
      <c r="B59" s="50"/>
    </row>
    <row r="60" spans="1:2">
      <c r="A60" s="56"/>
      <c r="B60" s="50"/>
    </row>
    <row r="61" spans="1:2">
      <c r="A61" s="56"/>
      <c r="B61" s="50"/>
    </row>
    <row r="62" spans="1:2">
      <c r="A62" s="56"/>
      <c r="B62" s="50"/>
    </row>
    <row r="63" spans="1:2">
      <c r="A63" s="56"/>
      <c r="B63" s="50"/>
    </row>
    <row r="64" spans="1:2">
      <c r="A64" s="56"/>
      <c r="B64" s="50"/>
    </row>
    <row r="65" spans="1:2">
      <c r="A65" s="56"/>
      <c r="B65" s="50"/>
    </row>
    <row r="66" spans="1:2">
      <c r="A66" s="56"/>
      <c r="B66" s="50"/>
    </row>
    <row r="67" spans="1:2">
      <c r="A67" s="56"/>
      <c r="B67" s="50"/>
    </row>
    <row r="68" spans="1:2">
      <c r="A68" s="56"/>
      <c r="B68" s="50"/>
    </row>
    <row r="69" spans="1:2">
      <c r="A69" s="56"/>
      <c r="B69" s="50"/>
    </row>
    <row r="70" spans="1:2">
      <c r="A70" s="56"/>
      <c r="B70" s="50"/>
    </row>
    <row r="71" spans="1:2">
      <c r="A71" s="56"/>
      <c r="B71" s="50"/>
    </row>
    <row r="72" spans="1:2">
      <c r="A72" s="56"/>
      <c r="B72" s="50"/>
    </row>
    <row r="73" spans="1:2">
      <c r="A73" s="56"/>
      <c r="B73" s="50"/>
    </row>
    <row r="74" spans="1:2">
      <c r="A74" s="56"/>
      <c r="B74" s="50"/>
    </row>
    <row r="75" spans="1:2">
      <c r="A75" s="56"/>
      <c r="B75" s="50"/>
    </row>
    <row r="76" spans="1:2">
      <c r="A76" s="56"/>
      <c r="B76" s="50"/>
    </row>
    <row r="77" spans="1:2">
      <c r="A77" s="56"/>
      <c r="B77" s="50"/>
    </row>
    <row r="78" spans="1:2">
      <c r="A78" s="56"/>
      <c r="B78" s="50"/>
    </row>
    <row r="79" spans="1:2">
      <c r="A79" s="56"/>
      <c r="B79" s="50"/>
    </row>
    <row r="80" spans="1:2">
      <c r="A80" s="56"/>
      <c r="B80" s="50"/>
    </row>
    <row r="81" spans="1:2">
      <c r="A81" s="56"/>
      <c r="B81" s="50"/>
    </row>
    <row r="82" spans="1:2">
      <c r="A82" s="56"/>
      <c r="B82" s="50"/>
    </row>
    <row r="83" spans="1:2">
      <c r="A83" s="56"/>
      <c r="B83" s="50"/>
    </row>
    <row r="84" spans="1:2">
      <c r="A84" s="56"/>
      <c r="B84" s="50"/>
    </row>
    <row r="85" spans="1:2">
      <c r="A85" s="56"/>
      <c r="B85" s="50"/>
    </row>
    <row r="86" spans="1:2">
      <c r="A86" s="56"/>
      <c r="B86" s="50"/>
    </row>
    <row r="87" spans="1:2">
      <c r="A87" s="56"/>
      <c r="B87" s="50"/>
    </row>
    <row r="88" spans="1:2">
      <c r="A88" s="56"/>
      <c r="B88" s="50"/>
    </row>
    <row r="89" spans="1:2">
      <c r="A89" s="56"/>
      <c r="B89" s="50"/>
    </row>
    <row r="90" spans="1:2">
      <c r="A90" s="56"/>
      <c r="B90" s="50"/>
    </row>
    <row r="91" spans="1:2">
      <c r="A91" s="56"/>
      <c r="B91" s="50"/>
    </row>
    <row r="92" spans="1:2">
      <c r="A92" s="56"/>
      <c r="B92" s="50"/>
    </row>
    <row r="93" spans="1:2">
      <c r="A93" s="56"/>
      <c r="B93" s="50"/>
    </row>
    <row r="94" spans="1:2">
      <c r="A94" s="56"/>
      <c r="B94" s="50"/>
    </row>
    <row r="95" spans="1:2">
      <c r="A95" s="56"/>
      <c r="B95" s="50"/>
    </row>
    <row r="96" spans="1:2">
      <c r="A96" s="56"/>
      <c r="B96" s="50"/>
    </row>
    <row r="97" spans="1:2">
      <c r="A97" s="56"/>
      <c r="B97" s="50"/>
    </row>
    <row r="98" spans="1:2">
      <c r="A98" s="56"/>
      <c r="B98" s="50"/>
    </row>
    <row r="99" spans="1:2">
      <c r="A99" s="56"/>
      <c r="B99" s="50"/>
    </row>
    <row r="100" spans="1:2">
      <c r="A100" s="56"/>
      <c r="B100" s="50"/>
    </row>
    <row r="101" spans="1:2">
      <c r="A101" s="56"/>
      <c r="B101" s="50"/>
    </row>
    <row r="102" spans="1:2">
      <c r="A102" s="56"/>
      <c r="B102" s="50"/>
    </row>
    <row r="103" spans="1:2">
      <c r="A103" s="56"/>
      <c r="B103" s="50"/>
    </row>
    <row r="104" spans="1:2">
      <c r="A104" s="56"/>
      <c r="B104" s="50"/>
    </row>
    <row r="105" spans="1:2">
      <c r="A105" s="56"/>
      <c r="B105" s="50"/>
    </row>
    <row r="106" spans="1:2">
      <c r="A106" s="56"/>
      <c r="B106" s="50"/>
    </row>
    <row r="107" spans="1:2">
      <c r="A107" s="56"/>
      <c r="B107" s="50"/>
    </row>
    <row r="108" spans="1:2">
      <c r="A108" s="56"/>
      <c r="B108" s="50"/>
    </row>
    <row r="109" spans="1:2">
      <c r="A109" s="56"/>
      <c r="B109" s="50"/>
    </row>
    <row r="110" spans="1:2">
      <c r="A110" s="56"/>
      <c r="B110" s="50"/>
    </row>
    <row r="111" spans="1:2">
      <c r="A111" s="56"/>
      <c r="B111" s="50"/>
    </row>
    <row r="112" spans="1:2">
      <c r="A112" s="56"/>
      <c r="B112" s="50"/>
    </row>
    <row r="113" spans="1:2">
      <c r="A113" s="56"/>
      <c r="B113" s="50"/>
    </row>
    <row r="114" spans="1:2">
      <c r="A114" s="56"/>
      <c r="B114" s="50"/>
    </row>
    <row r="115" spans="1:2">
      <c r="A115" s="56"/>
      <c r="B115" s="50"/>
    </row>
    <row r="116" spans="1:2">
      <c r="A116" s="56"/>
      <c r="B116" s="50"/>
    </row>
    <row r="117" spans="1:2">
      <c r="A117" s="56"/>
      <c r="B117" s="50"/>
    </row>
    <row r="118" spans="1:2">
      <c r="A118" s="56"/>
      <c r="B118" s="50"/>
    </row>
    <row r="119" spans="1:2">
      <c r="A119" s="56"/>
      <c r="B119" s="50"/>
    </row>
    <row r="120" spans="1:2">
      <c r="A120" s="56"/>
      <c r="B120" s="50"/>
    </row>
    <row r="121" spans="1:2">
      <c r="A121" s="56"/>
      <c r="B121" s="50"/>
    </row>
    <row r="122" spans="1:2">
      <c r="A122" s="56"/>
      <c r="B122" s="50"/>
    </row>
    <row r="123" spans="1:2">
      <c r="A123" s="56"/>
      <c r="B123" s="50"/>
    </row>
    <row r="124" spans="1:2">
      <c r="A124" s="56"/>
      <c r="B124" s="50"/>
    </row>
    <row r="125" spans="1:2">
      <c r="A125" s="56"/>
      <c r="B125" s="50"/>
    </row>
    <row r="126" spans="1:2">
      <c r="A126" s="56"/>
      <c r="B126" s="50"/>
    </row>
    <row r="127" spans="1:2">
      <c r="A127" s="56"/>
      <c r="B127" s="50"/>
    </row>
    <row r="128" spans="1:2">
      <c r="A128" s="56"/>
      <c r="B128" s="50"/>
    </row>
    <row r="129" spans="1:2">
      <c r="A129" s="56"/>
      <c r="B129" s="50"/>
    </row>
    <row r="130" spans="1:2">
      <c r="A130" s="56"/>
      <c r="B130" s="50"/>
    </row>
    <row r="131" spans="1:2">
      <c r="A131" s="56"/>
      <c r="B131" s="50"/>
    </row>
    <row r="132" spans="1:2">
      <c r="A132" s="56"/>
      <c r="B132" s="50"/>
    </row>
    <row r="133" spans="1:2">
      <c r="A133" s="56"/>
      <c r="B133" s="50"/>
    </row>
    <row r="134" spans="1:2">
      <c r="A134" s="56"/>
      <c r="B134" s="50"/>
    </row>
    <row r="135" spans="1:2">
      <c r="A135" s="56"/>
      <c r="B135" s="50"/>
    </row>
    <row r="136" spans="1:2">
      <c r="A136" s="56"/>
      <c r="B136" s="50"/>
    </row>
    <row r="137" spans="1:2">
      <c r="A137" s="56"/>
      <c r="B137" s="50"/>
    </row>
    <row r="138" spans="1:2">
      <c r="A138" s="56"/>
      <c r="B138" s="50"/>
    </row>
    <row r="139" spans="1:2">
      <c r="A139" s="56"/>
      <c r="B139" s="50"/>
    </row>
    <row r="140" spans="1:2">
      <c r="A140" s="56"/>
      <c r="B140" s="50"/>
    </row>
    <row r="141" spans="1:2">
      <c r="A141" s="56"/>
      <c r="B141" s="50"/>
    </row>
    <row r="142" spans="1:2">
      <c r="A142" s="56"/>
      <c r="B142" s="50"/>
    </row>
    <row r="143" spans="1:2">
      <c r="A143" s="56"/>
      <c r="B143" s="50"/>
    </row>
    <row r="144" spans="1:2">
      <c r="A144" s="56"/>
      <c r="B144" s="50"/>
    </row>
    <row r="145" spans="1:2">
      <c r="A145" s="56"/>
      <c r="B145" s="50"/>
    </row>
    <row r="146" spans="1:2">
      <c r="A146" s="56"/>
      <c r="B146" s="50"/>
    </row>
    <row r="147" spans="1:2">
      <c r="A147" s="56"/>
      <c r="B147" s="50"/>
    </row>
    <row r="148" spans="1:2">
      <c r="A148" s="56"/>
      <c r="B148" s="50"/>
    </row>
    <row r="149" spans="1:2">
      <c r="A149" s="56"/>
      <c r="B149" s="50"/>
    </row>
    <row r="150" spans="1:2">
      <c r="A150" s="56"/>
      <c r="B150" s="50"/>
    </row>
    <row r="151" spans="1:2">
      <c r="A151" s="56"/>
      <c r="B151" s="50"/>
    </row>
    <row r="152" spans="1:2">
      <c r="A152" s="56"/>
      <c r="B152" s="50"/>
    </row>
    <row r="153" spans="1:2">
      <c r="A153" s="56"/>
      <c r="B153" s="50"/>
    </row>
    <row r="154" spans="1:2">
      <c r="A154" s="56"/>
      <c r="B154" s="50"/>
    </row>
    <row r="155" spans="1:2">
      <c r="A155" s="56"/>
      <c r="B155" s="50"/>
    </row>
    <row r="156" spans="1:2">
      <c r="A156" s="56"/>
      <c r="B156" s="50"/>
    </row>
    <row r="157" spans="1:2">
      <c r="A157" s="51"/>
      <c r="B157" s="52"/>
    </row>
    <row r="158" spans="1:2">
      <c r="A158" s="51"/>
      <c r="B158" s="52"/>
    </row>
    <row r="159" spans="1:2">
      <c r="A159" s="51"/>
      <c r="B159" s="52"/>
    </row>
    <row r="160" spans="1:2">
      <c r="A160" s="51"/>
      <c r="B160" s="52"/>
    </row>
    <row r="161" spans="1:2">
      <c r="A161" s="51"/>
      <c r="B161" s="52"/>
    </row>
    <row r="162" spans="1:2">
      <c r="A162" s="51"/>
      <c r="B162" s="52"/>
    </row>
    <row r="163" spans="1:2">
      <c r="A163" s="51"/>
      <c r="B163" s="52"/>
    </row>
    <row r="164" spans="1:2">
      <c r="A164" s="51"/>
      <c r="B164" s="52"/>
    </row>
    <row r="165" spans="1:2">
      <c r="A165" s="53"/>
      <c r="B165" s="52"/>
    </row>
    <row r="166" spans="1:2">
      <c r="A166" s="53"/>
      <c r="B166" s="52"/>
    </row>
    <row r="167" spans="1:2">
      <c r="A167" s="53"/>
      <c r="B167" s="52"/>
    </row>
    <row r="168" spans="1:2">
      <c r="A168" s="53"/>
      <c r="B168" s="47"/>
    </row>
    <row r="169" spans="1:2">
      <c r="A169" s="53"/>
      <c r="B169" s="52"/>
    </row>
    <row r="170" spans="1:2">
      <c r="A170" s="53"/>
      <c r="B170" s="52"/>
    </row>
    <row r="171" spans="1:2">
      <c r="A171" s="56"/>
      <c r="B171" s="50"/>
    </row>
    <row r="172" spans="1:2">
      <c r="A172" s="56"/>
      <c r="B172" s="50"/>
    </row>
    <row r="173" spans="1:2">
      <c r="A173" s="56"/>
      <c r="B173" s="50"/>
    </row>
    <row r="174" spans="1:2">
      <c r="A174" s="56"/>
      <c r="B174" s="50"/>
    </row>
    <row r="175" spans="1:2">
      <c r="A175" s="56"/>
      <c r="B175" s="50"/>
    </row>
    <row r="176" spans="1:2">
      <c r="A176" s="56"/>
      <c r="B176" s="50"/>
    </row>
    <row r="177" spans="1:2">
      <c r="A177" s="56"/>
      <c r="B177" s="50"/>
    </row>
    <row r="178" spans="1:2">
      <c r="A178" s="56"/>
      <c r="B178" s="50"/>
    </row>
    <row r="179" spans="1:2">
      <c r="A179" s="56"/>
      <c r="B179" s="50"/>
    </row>
    <row r="180" spans="1:2">
      <c r="A180" s="56"/>
      <c r="B180" s="50"/>
    </row>
    <row r="181" spans="1:2">
      <c r="A181" s="56"/>
      <c r="B181" s="50"/>
    </row>
    <row r="182" spans="1:2">
      <c r="A182" s="56"/>
      <c r="B182" s="50"/>
    </row>
    <row r="183" spans="1:2">
      <c r="A183" s="56"/>
      <c r="B183" s="50"/>
    </row>
    <row r="184" spans="1:2">
      <c r="A184" s="56"/>
      <c r="B184" s="50"/>
    </row>
    <row r="185" spans="1:2">
      <c r="A185" s="56"/>
      <c r="B185" s="50"/>
    </row>
    <row r="186" spans="1:2">
      <c r="A186" s="56"/>
      <c r="B186" s="50"/>
    </row>
    <row r="187" spans="1:2">
      <c r="A187" s="56"/>
      <c r="B187" s="50"/>
    </row>
    <row r="188" spans="1:2">
      <c r="A188" s="56"/>
      <c r="B188" s="50"/>
    </row>
    <row r="189" spans="1:2">
      <c r="A189" s="56"/>
      <c r="B189" s="50"/>
    </row>
    <row r="190" spans="1:2">
      <c r="A190" s="56"/>
      <c r="B190" s="50"/>
    </row>
    <row r="191" spans="1:2">
      <c r="A191" s="56"/>
      <c r="B191" s="50"/>
    </row>
    <row r="192" spans="1:2">
      <c r="A192" s="56"/>
      <c r="B192" s="50"/>
    </row>
    <row r="193" spans="1:2">
      <c r="A193" s="56"/>
      <c r="B193" s="50"/>
    </row>
    <row r="194" spans="1:2">
      <c r="A194" s="56"/>
      <c r="B194" s="50"/>
    </row>
    <row r="195" spans="1:2">
      <c r="A195" s="56"/>
      <c r="B195" s="50"/>
    </row>
    <row r="196" spans="1:2">
      <c r="A196" s="56"/>
      <c r="B196" s="50"/>
    </row>
    <row r="197" spans="1:2">
      <c r="A197" s="56"/>
      <c r="B197" s="50"/>
    </row>
    <row r="198" spans="1:2">
      <c r="A198" s="56"/>
      <c r="B198" s="50"/>
    </row>
    <row r="199" spans="1:2">
      <c r="A199" s="56"/>
      <c r="B199" s="50"/>
    </row>
    <row r="200" spans="1:2">
      <c r="A200" s="56"/>
      <c r="B200" s="50"/>
    </row>
    <row r="201" spans="1:2">
      <c r="A201" s="56"/>
      <c r="B201" s="50"/>
    </row>
    <row r="202" spans="1:2">
      <c r="A202" s="56"/>
      <c r="B202" s="50"/>
    </row>
    <row r="203" spans="1:2">
      <c r="A203" s="56"/>
      <c r="B203" s="50"/>
    </row>
    <row r="204" spans="1:2">
      <c r="A204" s="56"/>
      <c r="B204" s="50"/>
    </row>
    <row r="205" spans="1:2">
      <c r="A205" s="56"/>
      <c r="B205" s="50"/>
    </row>
    <row r="206" spans="1:2">
      <c r="A206" s="56"/>
      <c r="B206" s="50"/>
    </row>
    <row r="207" spans="1:2">
      <c r="A207" s="56"/>
      <c r="B207" s="50"/>
    </row>
    <row r="208" spans="1:2">
      <c r="A208" s="56"/>
      <c r="B208" s="50"/>
    </row>
    <row r="209" spans="1:2">
      <c r="A209" s="56"/>
      <c r="B209" s="50"/>
    </row>
    <row r="210" spans="1:2">
      <c r="A210" s="56"/>
      <c r="B210" s="50"/>
    </row>
    <row r="211" spans="1:2">
      <c r="A211" s="56"/>
      <c r="B211" s="50"/>
    </row>
    <row r="212" spans="1:2">
      <c r="A212" s="56"/>
      <c r="B212" s="50"/>
    </row>
    <row r="213" spans="1:2">
      <c r="A213" s="56"/>
      <c r="B213" s="50"/>
    </row>
    <row r="214" spans="1:2">
      <c r="A214" s="56"/>
      <c r="B214" s="50"/>
    </row>
    <row r="215" spans="1:2">
      <c r="A215" s="56"/>
      <c r="B215" s="50"/>
    </row>
    <row r="216" spans="1:2">
      <c r="A216" s="56"/>
      <c r="B216" s="50"/>
    </row>
    <row r="217" spans="1:2">
      <c r="A217" s="56"/>
      <c r="B217" s="50"/>
    </row>
    <row r="218" spans="1:2">
      <c r="A218" s="56"/>
      <c r="B218" s="50"/>
    </row>
    <row r="219" spans="1:2">
      <c r="A219" s="56"/>
      <c r="B219" s="50"/>
    </row>
    <row r="220" spans="1:2">
      <c r="A220" s="56"/>
      <c r="B220" s="50"/>
    </row>
    <row r="221" spans="1:2">
      <c r="A221" s="56"/>
      <c r="B221" s="50"/>
    </row>
    <row r="222" spans="1:2">
      <c r="A222" s="56"/>
      <c r="B222" s="50"/>
    </row>
    <row r="223" spans="1:2">
      <c r="A223" s="56"/>
      <c r="B223" s="50"/>
    </row>
    <row r="224" spans="1:2">
      <c r="A224" s="56"/>
      <c r="B224" s="50"/>
    </row>
    <row r="225" spans="1:2">
      <c r="A225" s="56"/>
      <c r="B225" s="50"/>
    </row>
    <row r="226" spans="1:2">
      <c r="A226" s="56"/>
      <c r="B226" s="50"/>
    </row>
    <row r="227" spans="1:2">
      <c r="A227" s="56"/>
      <c r="B227" s="50"/>
    </row>
    <row r="228" spans="1:2">
      <c r="A228" s="56"/>
      <c r="B228" s="50"/>
    </row>
    <row r="229" spans="1:2">
      <c r="A229" s="56"/>
      <c r="B229" s="50"/>
    </row>
    <row r="230" spans="1:2">
      <c r="A230" s="56"/>
      <c r="B230" s="50"/>
    </row>
    <row r="231" spans="1:2">
      <c r="A231" s="56"/>
      <c r="B231" s="50"/>
    </row>
    <row r="232" spans="1:2">
      <c r="A232" s="56"/>
      <c r="B232" s="50"/>
    </row>
    <row r="233" spans="1:2">
      <c r="A233" s="56"/>
      <c r="B233" s="50"/>
    </row>
    <row r="234" spans="1:2">
      <c r="A234" s="56"/>
      <c r="B234" s="50"/>
    </row>
    <row r="235" spans="1:2">
      <c r="A235" s="56"/>
      <c r="B235" s="50"/>
    </row>
    <row r="236" spans="1:2">
      <c r="A236" s="56"/>
      <c r="B236" s="50"/>
    </row>
    <row r="237" spans="1:2">
      <c r="A237" s="56"/>
      <c r="B237" s="50"/>
    </row>
    <row r="238" spans="1:2">
      <c r="A238" s="56"/>
      <c r="B238" s="50"/>
    </row>
    <row r="239" spans="1:2">
      <c r="A239" s="56"/>
      <c r="B239" s="50"/>
    </row>
    <row r="240" spans="1:2">
      <c r="A240" s="56"/>
      <c r="B240" s="50"/>
    </row>
    <row r="241" spans="1:2">
      <c r="A241" s="56"/>
      <c r="B241" s="50"/>
    </row>
    <row r="242" spans="1:2">
      <c r="A242" s="56"/>
      <c r="B242" s="50"/>
    </row>
    <row r="243" spans="1:2">
      <c r="A243" s="56"/>
      <c r="B243" s="50"/>
    </row>
    <row r="244" spans="1:2">
      <c r="A244" s="56"/>
      <c r="B244" s="50"/>
    </row>
    <row r="245" spans="1:2">
      <c r="A245" s="56"/>
      <c r="B245" s="50"/>
    </row>
    <row r="246" spans="1:2">
      <c r="A246" s="56"/>
      <c r="B246" s="50"/>
    </row>
    <row r="247" spans="1:2">
      <c r="A247" s="56"/>
      <c r="B247" s="50"/>
    </row>
    <row r="248" spans="1:2">
      <c r="A248" s="56"/>
      <c r="B248" s="50"/>
    </row>
    <row r="249" spans="1:2">
      <c r="A249" s="56"/>
      <c r="B249" s="50"/>
    </row>
    <row r="250" spans="1:2">
      <c r="A250" s="56"/>
      <c r="B250" s="50"/>
    </row>
    <row r="251" spans="1:2">
      <c r="A251" s="56"/>
      <c r="B251" s="50"/>
    </row>
    <row r="252" spans="1:2">
      <c r="A252" s="56"/>
      <c r="B252" s="50"/>
    </row>
    <row r="253" spans="1:2">
      <c r="A253" s="56"/>
      <c r="B253" s="50"/>
    </row>
    <row r="254" spans="1:2">
      <c r="A254" s="56"/>
      <c r="B254" s="50"/>
    </row>
    <row r="255" spans="1:2">
      <c r="A255" s="56"/>
      <c r="B255" s="50"/>
    </row>
    <row r="256" spans="1:2">
      <c r="A256" s="56"/>
      <c r="B256" s="50"/>
    </row>
    <row r="257" spans="1:2">
      <c r="A257" s="56"/>
      <c r="B257" s="50"/>
    </row>
    <row r="258" spans="1:2">
      <c r="A258" s="56"/>
      <c r="B258" s="50"/>
    </row>
    <row r="259" spans="1:2">
      <c r="A259" s="56"/>
      <c r="B259" s="50"/>
    </row>
    <row r="260" spans="1:2">
      <c r="A260" s="56"/>
      <c r="B260" s="50"/>
    </row>
    <row r="261" spans="1:2">
      <c r="A261" s="56"/>
      <c r="B261" s="50"/>
    </row>
    <row r="262" spans="1:2">
      <c r="A262" s="56"/>
      <c r="B262" s="50"/>
    </row>
    <row r="263" spans="1:2">
      <c r="A263" s="56"/>
      <c r="B263" s="50"/>
    </row>
    <row r="264" spans="1:2">
      <c r="A264" s="56"/>
      <c r="B264" s="50"/>
    </row>
    <row r="265" spans="1:2">
      <c r="A265" s="56"/>
      <c r="B265" s="50"/>
    </row>
    <row r="266" spans="1:2">
      <c r="A266" s="56"/>
      <c r="B266" s="50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1:B252 B2:B14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8"/>
  <sheetViews>
    <sheetView workbookViewId="0">
      <pane ySplit="1" topLeftCell="A17" activePane="bottomLeft" state="frozen"/>
      <selection pane="bottomLeft" activeCell="B44" sqref="B44"/>
    </sheetView>
  </sheetViews>
  <sheetFormatPr defaultRowHeight="15"/>
  <cols>
    <col min="1" max="1" width="36.140625" style="2" customWidth="1"/>
    <col min="2" max="2" width="10.140625" bestFit="1" customWidth="1"/>
  </cols>
  <sheetData>
    <row r="1" spans="1:2" s="1" customFormat="1">
      <c r="A1" s="49" t="s">
        <v>0</v>
      </c>
      <c r="B1" s="1" t="s">
        <v>2</v>
      </c>
    </row>
    <row r="2" spans="1:2" s="1" customFormat="1">
      <c r="A2" s="48">
        <v>44117</v>
      </c>
      <c r="B2" s="47">
        <v>2</v>
      </c>
    </row>
    <row r="3" spans="1:2" s="1" customFormat="1">
      <c r="A3" s="48">
        <v>44131</v>
      </c>
      <c r="B3" s="47">
        <f>1/3</f>
        <v>0.33333333333333331</v>
      </c>
    </row>
    <row r="4" spans="1:2" s="1" customFormat="1">
      <c r="A4" s="48">
        <v>44166</v>
      </c>
      <c r="B4" s="47">
        <f>1/3</f>
        <v>0.33333333333333331</v>
      </c>
    </row>
    <row r="5" spans="1:2" s="1" customFormat="1">
      <c r="A5" s="48">
        <v>44187</v>
      </c>
      <c r="B5" s="47">
        <f>1/3</f>
        <v>0.33333333333333331</v>
      </c>
    </row>
    <row r="6" spans="1:2" s="1" customFormat="1">
      <c r="A6" s="48">
        <v>44229</v>
      </c>
      <c r="B6" s="47">
        <f>1/3</f>
        <v>0.33333333333333331</v>
      </c>
    </row>
    <row r="7" spans="1:2" s="1" customFormat="1">
      <c r="A7" s="48">
        <v>44257</v>
      </c>
      <c r="B7" s="47">
        <v>6</v>
      </c>
    </row>
    <row r="8" spans="1:2" s="1" customFormat="1">
      <c r="A8" s="48">
        <v>44271</v>
      </c>
      <c r="B8" s="47">
        <v>14</v>
      </c>
    </row>
    <row r="9" spans="1:2" s="1" customFormat="1">
      <c r="A9" s="48">
        <v>44299</v>
      </c>
      <c r="B9" s="47">
        <v>7</v>
      </c>
    </row>
    <row r="10" spans="1:2" s="1" customFormat="1">
      <c r="A10" s="48">
        <v>44320</v>
      </c>
      <c r="B10" s="47">
        <v>2</v>
      </c>
    </row>
    <row r="11" spans="1:2" s="1" customFormat="1">
      <c r="A11" s="48">
        <v>44411</v>
      </c>
      <c r="B11" s="47">
        <v>16</v>
      </c>
    </row>
    <row r="12" spans="1:2" s="1" customFormat="1">
      <c r="A12" s="48">
        <v>44425</v>
      </c>
      <c r="B12" s="47">
        <v>36</v>
      </c>
    </row>
    <row r="13" spans="1:2" s="1" customFormat="1">
      <c r="A13" s="48">
        <v>44453</v>
      </c>
      <c r="B13" s="47">
        <v>15</v>
      </c>
    </row>
    <row r="14" spans="1:2" s="1" customFormat="1">
      <c r="A14" s="48">
        <v>44467</v>
      </c>
      <c r="B14" s="47">
        <v>2</v>
      </c>
    </row>
    <row r="15" spans="1:2" s="1" customFormat="1">
      <c r="A15" s="48">
        <v>44481</v>
      </c>
      <c r="B15" s="47">
        <v>3</v>
      </c>
    </row>
    <row r="16" spans="1:2" s="1" customFormat="1">
      <c r="A16" s="48">
        <v>44495</v>
      </c>
      <c r="B16" s="47">
        <v>4</v>
      </c>
    </row>
    <row r="17" spans="1:2" s="1" customFormat="1">
      <c r="A17" s="48">
        <v>44523</v>
      </c>
      <c r="B17" s="47">
        <f>10/3</f>
        <v>3.3333333333333335</v>
      </c>
    </row>
    <row r="18" spans="1:2" s="1" customFormat="1">
      <c r="A18" s="48">
        <v>44537</v>
      </c>
      <c r="B18" s="47">
        <v>38</v>
      </c>
    </row>
    <row r="19" spans="1:2" s="1" customFormat="1">
      <c r="A19" s="48">
        <v>44573</v>
      </c>
      <c r="B19" s="47">
        <v>40</v>
      </c>
    </row>
    <row r="20" spans="1:2" s="1" customFormat="1">
      <c r="A20" s="48">
        <v>44579</v>
      </c>
      <c r="B20" s="47">
        <f>10/3</f>
        <v>3.3333333333333335</v>
      </c>
    </row>
    <row r="21" spans="1:2" s="1" customFormat="1">
      <c r="A21" s="48">
        <v>44901</v>
      </c>
      <c r="B21" s="47">
        <v>80</v>
      </c>
    </row>
    <row r="22" spans="1:2" s="1" customFormat="1">
      <c r="A22" s="48">
        <v>44943</v>
      </c>
      <c r="B22" s="47">
        <v>99</v>
      </c>
    </row>
    <row r="23" spans="1:2" s="1" customFormat="1">
      <c r="A23" s="48">
        <v>44971</v>
      </c>
      <c r="B23" s="47">
        <f>2419*3</f>
        <v>7257</v>
      </c>
    </row>
    <row r="24" spans="1:2" s="1" customFormat="1">
      <c r="A24" s="48">
        <v>44985</v>
      </c>
      <c r="B24" s="47">
        <v>78</v>
      </c>
    </row>
    <row r="25" spans="1:2" s="1" customFormat="1">
      <c r="A25" s="48">
        <v>45061</v>
      </c>
      <c r="B25" s="3">
        <f>1/3</f>
        <v>0.33333333333333331</v>
      </c>
    </row>
    <row r="26" spans="1:2">
      <c r="A26" s="48">
        <v>45252</v>
      </c>
      <c r="B26" s="47">
        <v>46</v>
      </c>
    </row>
    <row r="27" spans="1:2">
      <c r="A27" s="57">
        <v>45616</v>
      </c>
      <c r="B27" s="58">
        <v>2</v>
      </c>
    </row>
    <row r="28" spans="1:2">
      <c r="A28" s="57">
        <v>45623</v>
      </c>
      <c r="B28" s="58">
        <v>59</v>
      </c>
    </row>
    <row r="29" spans="1:2">
      <c r="A29" s="57">
        <v>45630</v>
      </c>
      <c r="B29" s="58">
        <v>2</v>
      </c>
    </row>
    <row r="30" spans="1:2">
      <c r="A30" s="57">
        <v>45637</v>
      </c>
      <c r="B30" s="58">
        <v>9</v>
      </c>
    </row>
    <row r="31" spans="1:2">
      <c r="A31" s="57">
        <v>45646</v>
      </c>
      <c r="B31" s="58">
        <v>26</v>
      </c>
    </row>
    <row r="32" spans="1:2">
      <c r="A32" s="57">
        <v>45650</v>
      </c>
      <c r="B32" s="58">
        <v>1</v>
      </c>
    </row>
    <row r="33" spans="1:2">
      <c r="A33" s="57">
        <v>45659</v>
      </c>
      <c r="B33" s="58">
        <v>56</v>
      </c>
    </row>
    <row r="34" spans="1:2">
      <c r="A34" s="48">
        <v>45665</v>
      </c>
      <c r="B34" s="47">
        <v>3</v>
      </c>
    </row>
    <row r="35" spans="1:2">
      <c r="A35" s="48">
        <v>45672</v>
      </c>
      <c r="B35" s="47">
        <v>66</v>
      </c>
    </row>
    <row r="36" spans="1:2">
      <c r="A36" s="48">
        <v>45679</v>
      </c>
      <c r="B36" s="47">
        <v>8</v>
      </c>
    </row>
    <row r="37" spans="1:2">
      <c r="A37" s="48">
        <v>45686</v>
      </c>
      <c r="B37" s="3">
        <v>19</v>
      </c>
    </row>
    <row r="38" spans="1:2">
      <c r="A38" s="48">
        <v>45693</v>
      </c>
      <c r="B38" s="47">
        <v>320</v>
      </c>
    </row>
    <row r="39" spans="1:2">
      <c r="A39" s="57">
        <v>45700</v>
      </c>
      <c r="B39" s="58">
        <v>5</v>
      </c>
    </row>
    <row r="40" spans="1:2">
      <c r="A40" s="57">
        <v>45707</v>
      </c>
      <c r="B40" s="58">
        <v>3</v>
      </c>
    </row>
    <row r="41" spans="1:2">
      <c r="A41" s="57">
        <v>45714</v>
      </c>
      <c r="B41" s="58">
        <v>13</v>
      </c>
    </row>
    <row r="42" spans="1:2">
      <c r="A42" s="57">
        <v>45721</v>
      </c>
      <c r="B42" s="58">
        <v>3</v>
      </c>
    </row>
    <row r="43" spans="1:2">
      <c r="A43" s="57">
        <v>45728</v>
      </c>
      <c r="B43" s="58">
        <v>7</v>
      </c>
    </row>
    <row r="44" spans="1:2">
      <c r="A44" s="57"/>
      <c r="B44" s="58"/>
    </row>
    <row r="45" spans="1:2">
      <c r="A45" s="48"/>
      <c r="B45" s="47"/>
    </row>
    <row r="46" spans="1:2">
      <c r="A46" s="48"/>
      <c r="B46" s="47"/>
    </row>
    <row r="47" spans="1:2">
      <c r="A47" s="48"/>
      <c r="B47" s="3"/>
    </row>
    <row r="48" spans="1:2">
      <c r="A48" s="48"/>
      <c r="B48" s="47"/>
    </row>
    <row r="49" spans="1:2">
      <c r="A49" s="57"/>
      <c r="B49" s="58"/>
    </row>
    <row r="50" spans="1:2">
      <c r="A50" s="57"/>
      <c r="B50" s="58"/>
    </row>
    <row r="51" spans="1:2">
      <c r="A51" s="57"/>
      <c r="B51" s="58"/>
    </row>
    <row r="52" spans="1:2">
      <c r="A52" s="57"/>
      <c r="B52" s="58"/>
    </row>
    <row r="53" spans="1:2">
      <c r="A53" s="57"/>
      <c r="B53" s="58"/>
    </row>
    <row r="54" spans="1:2">
      <c r="A54" s="57"/>
      <c r="B54" s="58"/>
    </row>
    <row r="55" spans="1:2">
      <c r="A55" s="48"/>
      <c r="B55" s="47"/>
    </row>
    <row r="56" spans="1:2">
      <c r="A56" s="4"/>
      <c r="B56" s="3"/>
    </row>
    <row r="57" spans="1:2">
      <c r="A57" s="4"/>
      <c r="B57" s="3"/>
    </row>
    <row r="58" spans="1:2">
      <c r="A58" s="4"/>
      <c r="B58" s="3"/>
    </row>
    <row r="59" spans="1:2">
      <c r="A59" s="4"/>
      <c r="B59" s="3"/>
    </row>
    <row r="60" spans="1:2">
      <c r="A60" s="4"/>
      <c r="B60" s="3"/>
    </row>
    <row r="61" spans="1:2">
      <c r="A61" s="4"/>
      <c r="B61" s="3"/>
    </row>
    <row r="62" spans="1:2">
      <c r="A62" s="4"/>
      <c r="B62" s="3"/>
    </row>
    <row r="63" spans="1:2">
      <c r="A63" s="4"/>
      <c r="B63" s="3"/>
    </row>
    <row r="64" spans="1:2">
      <c r="A64" s="4"/>
      <c r="B64" s="3"/>
    </row>
    <row r="65" spans="1:2">
      <c r="A65" s="4"/>
      <c r="B65" s="3"/>
    </row>
    <row r="66" spans="1:2">
      <c r="A66" s="4"/>
      <c r="B66" s="3"/>
    </row>
    <row r="67" spans="1:2">
      <c r="A67" s="4"/>
      <c r="B67" s="3"/>
    </row>
    <row r="68" spans="1:2">
      <c r="A68" s="4"/>
      <c r="B68" s="3"/>
    </row>
    <row r="69" spans="1:2">
      <c r="A69" s="4"/>
      <c r="B69" s="3"/>
    </row>
    <row r="70" spans="1:2">
      <c r="A70" s="4"/>
      <c r="B70" s="3"/>
    </row>
    <row r="71" spans="1:2">
      <c r="A71" s="4"/>
      <c r="B71" s="3"/>
    </row>
    <row r="72" spans="1:2">
      <c r="A72" s="4"/>
      <c r="B72" s="3"/>
    </row>
    <row r="73" spans="1:2">
      <c r="A73" s="4"/>
      <c r="B73" s="3"/>
    </row>
    <row r="74" spans="1:2">
      <c r="A74" s="4"/>
      <c r="B74" s="3"/>
    </row>
    <row r="75" spans="1:2">
      <c r="A75" s="4"/>
      <c r="B75" s="3"/>
    </row>
    <row r="76" spans="1:2">
      <c r="A76" s="4"/>
      <c r="B76" s="3"/>
    </row>
    <row r="77" spans="1:2">
      <c r="A77" s="4"/>
      <c r="B77" s="3"/>
    </row>
    <row r="78" spans="1:2">
      <c r="A78" s="4"/>
      <c r="B78" s="3"/>
    </row>
    <row r="79" spans="1:2">
      <c r="A79" s="4"/>
      <c r="B79" s="3"/>
    </row>
    <row r="80" spans="1:2">
      <c r="A80" s="4"/>
      <c r="B80" s="3"/>
    </row>
    <row r="81" spans="1:2">
      <c r="A81" s="4"/>
      <c r="B81" s="3"/>
    </row>
    <row r="82" spans="1:2">
      <c r="A82" s="4"/>
      <c r="B82" s="3"/>
    </row>
    <row r="83" spans="1:2">
      <c r="A83" s="4"/>
      <c r="B83" s="3"/>
    </row>
    <row r="84" spans="1:2">
      <c r="A84" s="4"/>
      <c r="B84" s="3"/>
    </row>
    <row r="85" spans="1:2">
      <c r="A85" s="4"/>
      <c r="B85" s="3"/>
    </row>
    <row r="86" spans="1:2">
      <c r="A86" s="4"/>
      <c r="B86" s="3"/>
    </row>
    <row r="87" spans="1:2">
      <c r="A87" s="4"/>
      <c r="B87" s="3"/>
    </row>
    <row r="88" spans="1:2">
      <c r="A88" s="4"/>
      <c r="B88" s="3"/>
    </row>
    <row r="89" spans="1:2">
      <c r="A89" s="4"/>
      <c r="B89" s="3"/>
    </row>
    <row r="90" spans="1:2">
      <c r="A90" s="4"/>
      <c r="B90" s="3"/>
    </row>
    <row r="91" spans="1:2">
      <c r="A91" s="4"/>
      <c r="B91" s="3"/>
    </row>
    <row r="92" spans="1:2">
      <c r="A92" s="4"/>
      <c r="B92" s="3"/>
    </row>
    <row r="93" spans="1:2">
      <c r="A93" s="4"/>
      <c r="B93" s="3"/>
    </row>
    <row r="94" spans="1:2">
      <c r="A94" s="4"/>
      <c r="B94" s="3"/>
    </row>
    <row r="95" spans="1:2">
      <c r="A95" s="4"/>
      <c r="B95" s="3"/>
    </row>
    <row r="96" spans="1:2">
      <c r="A96" s="4"/>
      <c r="B96" s="3"/>
    </row>
    <row r="97" spans="1:2">
      <c r="A97" s="4"/>
      <c r="B97" s="3"/>
    </row>
    <row r="98" spans="1:2">
      <c r="A98" s="4"/>
      <c r="B98" s="3"/>
    </row>
    <row r="99" spans="1:2">
      <c r="A99" s="4"/>
      <c r="B99" s="3"/>
    </row>
    <row r="100" spans="1:2">
      <c r="A100" s="4"/>
      <c r="B100" s="3"/>
    </row>
    <row r="101" spans="1:2">
      <c r="A101" s="4"/>
      <c r="B101" s="3"/>
    </row>
    <row r="102" spans="1:2">
      <c r="A102" s="4"/>
      <c r="B102" s="3"/>
    </row>
    <row r="103" spans="1:2">
      <c r="A103" s="4"/>
      <c r="B103" s="3"/>
    </row>
    <row r="104" spans="1:2">
      <c r="A104" s="4"/>
      <c r="B104" s="3"/>
    </row>
    <row r="105" spans="1:2">
      <c r="A105" s="4"/>
      <c r="B105" s="3"/>
    </row>
    <row r="106" spans="1:2">
      <c r="A106" s="4"/>
      <c r="B106" s="3"/>
    </row>
    <row r="107" spans="1:2">
      <c r="A107" s="4"/>
      <c r="B107" s="3"/>
    </row>
    <row r="108" spans="1:2">
      <c r="A108" s="4"/>
      <c r="B108" s="3"/>
    </row>
    <row r="109" spans="1:2">
      <c r="A109" s="4"/>
      <c r="B109" s="3"/>
    </row>
    <row r="110" spans="1:2">
      <c r="A110" s="4"/>
      <c r="B110" s="3"/>
    </row>
    <row r="111" spans="1:2">
      <c r="A111" s="4"/>
      <c r="B111" s="3"/>
    </row>
    <row r="112" spans="1:2">
      <c r="A112" s="4"/>
      <c r="B112" s="3"/>
    </row>
    <row r="113" spans="1:2">
      <c r="A113" s="4"/>
      <c r="B113" s="3"/>
    </row>
    <row r="114" spans="1:2">
      <c r="A114" s="4"/>
      <c r="B114" s="3"/>
    </row>
    <row r="115" spans="1:2">
      <c r="A115" s="4"/>
      <c r="B115" s="3"/>
    </row>
    <row r="116" spans="1:2">
      <c r="A116" s="4"/>
      <c r="B116" s="3"/>
    </row>
    <row r="117" spans="1:2">
      <c r="A117" s="4"/>
      <c r="B117" s="3"/>
    </row>
    <row r="118" spans="1:2">
      <c r="A118" s="4"/>
      <c r="B118" s="3"/>
    </row>
    <row r="119" spans="1:2">
      <c r="A119" s="4"/>
      <c r="B119" s="3"/>
    </row>
    <row r="120" spans="1:2">
      <c r="A120" s="4"/>
      <c r="B120" s="3"/>
    </row>
    <row r="121" spans="1:2">
      <c r="A121" s="4"/>
      <c r="B121" s="3"/>
    </row>
    <row r="122" spans="1:2">
      <c r="A122" s="4"/>
      <c r="B122" s="3"/>
    </row>
    <row r="123" spans="1:2">
      <c r="A123" s="4"/>
      <c r="B123" s="3"/>
    </row>
    <row r="124" spans="1:2">
      <c r="A124" s="4"/>
      <c r="B124" s="3"/>
    </row>
    <row r="125" spans="1:2">
      <c r="A125" s="4"/>
      <c r="B125" s="3"/>
    </row>
    <row r="126" spans="1:2">
      <c r="A126" s="4"/>
      <c r="B126" s="3"/>
    </row>
    <row r="127" spans="1:2">
      <c r="A127" s="4"/>
      <c r="B127" s="3"/>
    </row>
    <row r="128" spans="1:2">
      <c r="A128" s="4"/>
      <c r="B128" s="3"/>
    </row>
    <row r="129" spans="1:2">
      <c r="A129" s="4"/>
      <c r="B129" s="3"/>
    </row>
    <row r="130" spans="1:2">
      <c r="A130" s="4"/>
      <c r="B130" s="3"/>
    </row>
    <row r="131" spans="1:2">
      <c r="A131" s="4"/>
      <c r="B131" s="3"/>
    </row>
    <row r="132" spans="1:2">
      <c r="A132" s="4"/>
      <c r="B132" s="3"/>
    </row>
    <row r="133" spans="1:2">
      <c r="A133" s="4"/>
      <c r="B133" s="3"/>
    </row>
    <row r="134" spans="1:2">
      <c r="A134" s="4"/>
      <c r="B134" s="3"/>
    </row>
    <row r="135" spans="1:2">
      <c r="A135" s="4"/>
      <c r="B135" s="3"/>
    </row>
    <row r="136" spans="1:2">
      <c r="A136" s="4"/>
      <c r="B136" s="3"/>
    </row>
    <row r="137" spans="1:2">
      <c r="A137" s="4"/>
      <c r="B137" s="3"/>
    </row>
    <row r="138" spans="1:2">
      <c r="A138" s="4"/>
      <c r="B138" s="3"/>
    </row>
    <row r="139" spans="1:2">
      <c r="A139" s="4"/>
      <c r="B139" s="3"/>
    </row>
    <row r="140" spans="1:2">
      <c r="A140" s="4"/>
      <c r="B140" s="3"/>
    </row>
    <row r="141" spans="1:2">
      <c r="A141" s="4"/>
      <c r="B141" s="3"/>
    </row>
    <row r="142" spans="1:2">
      <c r="A142" s="4"/>
      <c r="B142" s="3"/>
    </row>
    <row r="143" spans="1:2">
      <c r="A143" s="4"/>
      <c r="B143" s="3"/>
    </row>
    <row r="144" spans="1:2">
      <c r="A144" s="4"/>
      <c r="B144" s="3"/>
    </row>
    <row r="145" spans="1:2">
      <c r="A145" s="4"/>
      <c r="B145" s="3"/>
    </row>
    <row r="146" spans="1:2">
      <c r="A146" s="4"/>
      <c r="B146" s="3"/>
    </row>
    <row r="147" spans="1:2">
      <c r="A147" s="4"/>
      <c r="B147" s="3"/>
    </row>
    <row r="148" spans="1:2">
      <c r="A148" s="4"/>
      <c r="B148" s="3"/>
    </row>
    <row r="149" spans="1:2">
      <c r="A149" s="4"/>
      <c r="B149" s="3"/>
    </row>
    <row r="150" spans="1:2">
      <c r="A150" s="4"/>
      <c r="B150" s="3"/>
    </row>
    <row r="151" spans="1:2">
      <c r="A151" s="4"/>
      <c r="B151" s="3"/>
    </row>
    <row r="152" spans="1:2">
      <c r="A152" s="4"/>
      <c r="B152" s="3"/>
    </row>
    <row r="153" spans="1:2">
      <c r="A153" s="4"/>
      <c r="B153" s="3"/>
    </row>
    <row r="154" spans="1:2">
      <c r="A154" s="4"/>
      <c r="B154" s="3"/>
    </row>
    <row r="155" spans="1:2">
      <c r="A155" s="44"/>
      <c r="B155" s="45"/>
    </row>
    <row r="156" spans="1:2">
      <c r="A156" s="44"/>
      <c r="B156" s="45"/>
    </row>
    <row r="157" spans="1:2">
      <c r="A157" s="44"/>
      <c r="B157" s="45"/>
    </row>
    <row r="158" spans="1:2">
      <c r="A158" s="44"/>
      <c r="B158" s="45"/>
    </row>
    <row r="159" spans="1:2">
      <c r="A159" s="44"/>
      <c r="B159" s="45"/>
    </row>
    <row r="160" spans="1:2">
      <c r="A160" s="44"/>
      <c r="B160" s="45"/>
    </row>
    <row r="161" spans="1:2">
      <c r="A161" s="44"/>
      <c r="B161" s="45"/>
    </row>
    <row r="162" spans="1:2">
      <c r="A162" s="44"/>
      <c r="B162" s="45"/>
    </row>
    <row r="163" spans="1:2">
      <c r="A163" s="46"/>
      <c r="B163" s="45"/>
    </row>
    <row r="164" spans="1:2">
      <c r="A164" s="46"/>
      <c r="B164" s="45"/>
    </row>
    <row r="165" spans="1:2">
      <c r="A165" s="46"/>
      <c r="B165" s="45"/>
    </row>
    <row r="166" spans="1:2">
      <c r="A166" s="46"/>
      <c r="B166" s="45"/>
    </row>
    <row r="167" spans="1:2">
      <c r="A167" s="46"/>
      <c r="B167" s="47"/>
    </row>
    <row r="168" spans="1:2">
      <c r="A168" s="46"/>
      <c r="B168" s="45"/>
    </row>
  </sheetData>
  <sortState ref="A2:B4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6:B14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2DF583-3B20-4B85-AFF2-3B86C99BFBC3}">
  <ds:schemaRefs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494072A-B2D8-49CA-AEBC-C668301A8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6A73CF-311A-4294-9F87-15876B71AE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