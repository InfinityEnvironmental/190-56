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coli'!$A$1:$B$217</definedName>
    <definedName name="_xlnm._FilterDatabase" localSheetId="2" hidden="1">'Faecal streptococci'!$A$1:$B$203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5" i="3" l="1"/>
  <c r="B191" i="3" l="1"/>
  <c r="B193" i="3" l="1"/>
  <c r="B189" i="3" l="1"/>
  <c r="B187" i="3" l="1"/>
  <c r="B186" i="3" l="1"/>
  <c r="B183" i="3" l="1"/>
  <c r="B207" i="2" l="1"/>
  <c r="B188" i="2" l="1"/>
  <c r="B185" i="2" l="1"/>
  <c r="B183" i="2" l="1"/>
  <c r="B181" i="3" l="1"/>
  <c r="B180" i="3" l="1"/>
  <c r="B177" i="2" l="1"/>
  <c r="B171" i="3" l="1"/>
  <c r="B171" i="2"/>
  <c r="B168" i="3" l="1"/>
  <c r="B167" i="3" l="1"/>
  <c r="B163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<sst xmlns="http://schemas.openxmlformats.org/spreadsheetml/2006/main" count="71" uniqueCount="42">
  <si>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</si>
  <si>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</si>
  <si>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</si>
  <si>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</si>
  <si>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</si>
  <si>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</si>
  <si>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</si>
  <si>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</si>
  <si>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</si>
  <si>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</si>
  <si>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</si>
  <si>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</si>
  <si>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</si>
  <si>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</si>
  <si>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</si>
  <si>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</si>
  <si>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</si>
  <si>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</si>
  <si>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</si>
  <si>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</si>
  <si>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Excellent</t>
  </si>
  <si>
    <t>238/114</t>
  </si>
  <si>
    <t>40/-</t>
  </si>
  <si>
    <t>132/-</t>
  </si>
  <si>
    <t>137/-</t>
  </si>
  <si>
    <t>311/41</t>
  </si>
  <si>
    <t>745/160</t>
  </si>
  <si>
    <t>Boulders Beach</t>
  </si>
  <si>
    <t>Simons Town and Fish Hoek</t>
  </si>
  <si>
    <t>620/274</t>
  </si>
  <si>
    <t>176/-</t>
  </si>
  <si>
    <t>253/89</t>
  </si>
  <si>
    <t>Not Enough Data</t>
  </si>
  <si>
    <t>73/-</t>
  </si>
  <si>
    <t>140/-</t>
  </si>
  <si>
    <t>921/518</t>
  </si>
  <si>
    <t>6353/2296</t>
  </si>
  <si>
    <t>49/-</t>
  </si>
  <si>
    <t>2158/1005</t>
  </si>
  <si>
    <t>162/-</t>
  </si>
  <si>
    <t>146/-</t>
  </si>
  <si>
    <t>245/88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</si>
</sst>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6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164" fontId="2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E37" sqref="E37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2" t="s">
        <v>27</v>
      </c>
      <c r="D3" s="52"/>
      <c r="E3" s="52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2"/>
      <c r="D4" s="52"/>
      <c r="E4" s="52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3" t="s">
        <v>28</v>
      </c>
      <c r="E6" s="53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3"/>
      <c r="E7" s="53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3"/>
      <c r="E8" s="53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3">
        <v>12</v>
      </c>
      <c r="E9" s="53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4">
        <f ca="1">TODAY()</f>
        <v>45741</v>
      </c>
      <c r="E11" s="54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4">
        <f>MAX(MAX('Escherichia coli'!A:A),MAX('Faecal streptococci'!A:A))</f>
        <v>45728</v>
      </c>
      <c r="E12" s="54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5">
        <f ca="1">YEAR(D11)+(MONTH(D11)&gt;=D9)</f>
        <v>2025</v>
      </c>
      <c r="E13" s="55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4" t="str">
        <f ca="1">CONCATENATE(TEXT(DATE(D13-1,D9,1), "yyyy/mm/dd")," - ",TEXT(D11,"yyyy/mm/dd"))</f>
        <v>2024/12/01 - 2025/03/25</v>
      </c>
      <c r="E14" s="54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4" t="str">
        <f ca="1">CONCATENATE(TEXT(DATE(D13-5,D9,1), "yyyy/mm/dd")," - ",TEXT(D11,"yyyy/mm/dd"))</f>
        <v>2020/12/01 - 2025/03/25</v>
      </c>
      <c r="E15" s="54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32</v>
      </c>
      <c r="E18" s="26"/>
      <c r="F18" s="22" t="s">
        <v>32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19</v>
      </c>
      <c r="E19" s="39" t="s">
        <v>38</v>
      </c>
      <c r="F19" s="22" t="s">
        <v>18</v>
      </c>
      <c r="G19" s="39" t="s">
        <v>41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32</v>
      </c>
      <c r="E20" s="39"/>
      <c r="F20" s="22" t="s">
        <v>17</v>
      </c>
      <c r="G20" s="39" t="s">
        <v>40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35</v>
      </c>
      <c r="F21" s="22" t="s">
        <v>17</v>
      </c>
      <c r="G21" s="39" t="s">
        <v>39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7">
        <v>2025</v>
      </c>
      <c r="D22" s="7" t="s">
        <v>32</v>
      </c>
      <c r="E22" s="39"/>
      <c r="F22" s="22" t="s">
        <v>32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7">
        <v>2024</v>
      </c>
      <c r="D23" s="7" t="s">
        <v>32</v>
      </c>
      <c r="E23" s="39"/>
      <c r="F23" s="22" t="s">
        <v>20</v>
      </c>
      <c r="G23" s="39" t="s">
        <v>37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7">
        <v>2023</v>
      </c>
      <c r="D24" s="7" t="s">
        <v>19</v>
      </c>
      <c r="E24" s="39" t="s">
        <v>36</v>
      </c>
      <c r="F24" s="22" t="s">
        <v>32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47">
        <v>2022</v>
      </c>
      <c r="D25" s="7" t="s">
        <v>17</v>
      </c>
      <c r="E25" s="39" t="s">
        <v>34</v>
      </c>
      <c r="F25" s="22" t="s">
        <v>32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17</v>
      </c>
      <c r="E26" s="26" t="s">
        <v>30</v>
      </c>
      <c r="F26" s="23" t="s">
        <v>18</v>
      </c>
      <c r="G26" s="26" t="s">
        <v>31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19</v>
      </c>
      <c r="E27" s="7" t="s">
        <v>29</v>
      </c>
      <c r="F27" s="24" t="s">
        <v>18</v>
      </c>
      <c r="G27" s="19">
        <v>3.052941176470588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21</v>
      </c>
      <c r="F28" s="24" t="s">
        <v>18</v>
      </c>
      <c r="G28" s="19">
        <v>3.089171974522293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20</v>
      </c>
      <c r="E29" s="7" t="s">
        <v>22</v>
      </c>
      <c r="F29" s="24" t="s">
        <v>18</v>
      </c>
      <c r="G29" s="19">
        <v>24.894736842105264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17</v>
      </c>
      <c r="E30" s="7" t="s">
        <v>23</v>
      </c>
      <c r="F30" s="24" t="s">
        <v>18</v>
      </c>
      <c r="G30" s="19">
        <v>14.394736842105264</v>
      </c>
      <c r="H30" s="19"/>
      <c r="I30" s="27"/>
      <c r="J30" s="4"/>
    </row>
    <row r="31" spans="1:13" s="3" customFormat="1" x14ac:dyDescent="0.25">
      <c r="A31" s="7"/>
      <c r="B31" s="7"/>
      <c r="C31" s="17">
        <v>2016</v>
      </c>
      <c r="D31" s="22" t="s">
        <v>17</v>
      </c>
      <c r="E31" s="7" t="s">
        <v>24</v>
      </c>
      <c r="F31" s="24" t="s">
        <v>18</v>
      </c>
      <c r="G31" s="19">
        <v>15.625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25</v>
      </c>
      <c r="F32" s="24" t="s">
        <v>20</v>
      </c>
      <c r="G32" s="19" t="s">
        <v>33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18</v>
      </c>
      <c r="E33" s="7" t="s">
        <v>26</v>
      </c>
      <c r="F33" s="24" t="s">
        <v>19</v>
      </c>
      <c r="G33" s="19">
        <v>4.5106382978723403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2"/>
  <sheetViews>
    <sheetView workbookViewId="0">
      <pane ySplit="1" topLeftCell="A200" activePane="bottomLeft" state="frozen"/>
      <selection pane="bottomLeft" activeCell="A218" sqref="A218:B218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8" t="s">
        <v>1</v>
      </c>
    </row>
    <row r="2" spans="1:2" s="1" customFormat="1" x14ac:dyDescent="0.25">
      <c r="A2" s="42">
        <v>41647</v>
      </c>
      <c r="B2" s="41">
        <v>100</v>
      </c>
    </row>
    <row r="3" spans="1:2" s="1" customFormat="1" x14ac:dyDescent="0.25">
      <c r="A3" s="42">
        <v>41661</v>
      </c>
      <c r="B3" s="41">
        <v>10</v>
      </c>
    </row>
    <row r="4" spans="1:2" s="1" customFormat="1" x14ac:dyDescent="0.25">
      <c r="A4" s="42">
        <v>41675</v>
      </c>
      <c r="B4" s="41">
        <v>28</v>
      </c>
    </row>
    <row r="5" spans="1:2" s="1" customFormat="1" x14ac:dyDescent="0.25">
      <c r="A5" s="42">
        <v>41689</v>
      </c>
      <c r="B5" s="41">
        <v>12</v>
      </c>
    </row>
    <row r="6" spans="1:2" s="1" customFormat="1" x14ac:dyDescent="0.25">
      <c r="A6" s="42">
        <v>41703</v>
      </c>
      <c r="B6" s="41">
        <v>6</v>
      </c>
    </row>
    <row r="7" spans="1:2" s="1" customFormat="1" x14ac:dyDescent="0.25">
      <c r="A7" s="42">
        <v>41717</v>
      </c>
      <c r="B7" s="41">
        <v>28</v>
      </c>
    </row>
    <row r="8" spans="1:2" s="1" customFormat="1" x14ac:dyDescent="0.25">
      <c r="A8" s="42">
        <v>41731</v>
      </c>
      <c r="B8" s="41">
        <v>850</v>
      </c>
    </row>
    <row r="9" spans="1:2" s="1" customFormat="1" x14ac:dyDescent="0.25">
      <c r="A9" s="42">
        <v>41745</v>
      </c>
      <c r="B9" s="41">
        <v>2</v>
      </c>
    </row>
    <row r="10" spans="1:2" s="1" customFormat="1" x14ac:dyDescent="0.25">
      <c r="A10" s="42">
        <v>41759</v>
      </c>
      <c r="B10" s="41">
        <v>6</v>
      </c>
    </row>
    <row r="11" spans="1:2" s="1" customFormat="1" x14ac:dyDescent="0.25">
      <c r="A11" s="42">
        <v>41773</v>
      </c>
      <c r="B11" s="41">
        <v>16</v>
      </c>
    </row>
    <row r="12" spans="1:2" s="1" customFormat="1" x14ac:dyDescent="0.25">
      <c r="A12" s="42">
        <v>41787</v>
      </c>
      <c r="B12" s="41">
        <v>100</v>
      </c>
    </row>
    <row r="13" spans="1:2" s="1" customFormat="1" x14ac:dyDescent="0.25">
      <c r="A13" s="42">
        <v>41801</v>
      </c>
      <c r="B13" s="41">
        <v>10</v>
      </c>
    </row>
    <row r="14" spans="1:2" s="1" customFormat="1" x14ac:dyDescent="0.25">
      <c r="A14" s="42">
        <v>41815</v>
      </c>
      <c r="B14" s="41">
        <v>60</v>
      </c>
    </row>
    <row r="15" spans="1:2" s="1" customFormat="1" x14ac:dyDescent="0.25">
      <c r="A15" s="42">
        <v>41829</v>
      </c>
      <c r="B15" s="41">
        <v>18</v>
      </c>
    </row>
    <row r="16" spans="1:2" s="1" customFormat="1" x14ac:dyDescent="0.25">
      <c r="A16" s="42">
        <v>41843</v>
      </c>
      <c r="B16" s="41">
        <v>0.66666666699999999</v>
      </c>
    </row>
    <row r="17" spans="1:2" s="1" customFormat="1" x14ac:dyDescent="0.25">
      <c r="A17" s="42">
        <v>41857</v>
      </c>
      <c r="B17" s="41">
        <v>8</v>
      </c>
    </row>
    <row r="18" spans="1:2" s="1" customFormat="1" x14ac:dyDescent="0.25">
      <c r="A18" s="42">
        <v>41871</v>
      </c>
      <c r="B18" s="41">
        <v>700</v>
      </c>
    </row>
    <row r="19" spans="1:2" s="1" customFormat="1" x14ac:dyDescent="0.25">
      <c r="A19" s="42">
        <v>41885</v>
      </c>
      <c r="B19" s="41">
        <v>0.66666666699999999</v>
      </c>
    </row>
    <row r="20" spans="1:2" s="1" customFormat="1" x14ac:dyDescent="0.25">
      <c r="A20" s="42">
        <v>41899</v>
      </c>
      <c r="B20" s="41">
        <v>2</v>
      </c>
    </row>
    <row r="21" spans="1:2" s="1" customFormat="1" x14ac:dyDescent="0.25">
      <c r="A21" s="42">
        <v>41913</v>
      </c>
      <c r="B21" s="41">
        <v>0.66666666699999999</v>
      </c>
    </row>
    <row r="22" spans="1:2" s="1" customFormat="1" x14ac:dyDescent="0.25">
      <c r="A22" s="42">
        <v>41927</v>
      </c>
      <c r="B22" s="41">
        <v>0.66666666699999999</v>
      </c>
    </row>
    <row r="23" spans="1:2" s="1" customFormat="1" x14ac:dyDescent="0.25">
      <c r="A23" s="42">
        <v>41941</v>
      </c>
      <c r="B23" s="41">
        <v>2</v>
      </c>
    </row>
    <row r="24" spans="1:2" s="1" customFormat="1" x14ac:dyDescent="0.25">
      <c r="A24" s="42">
        <v>41955</v>
      </c>
      <c r="B24" s="41">
        <v>2</v>
      </c>
    </row>
    <row r="25" spans="1:2" s="1" customFormat="1" x14ac:dyDescent="0.25">
      <c r="A25" s="42">
        <v>41969</v>
      </c>
      <c r="B25" s="41">
        <v>0.66666666699999999</v>
      </c>
    </row>
    <row r="26" spans="1:2" x14ac:dyDescent="0.25">
      <c r="A26" s="42">
        <v>41983</v>
      </c>
      <c r="B26" s="41">
        <v>0.66666666699999999</v>
      </c>
    </row>
    <row r="27" spans="1:2" x14ac:dyDescent="0.25">
      <c r="A27" s="42">
        <v>41991</v>
      </c>
      <c r="B27" s="41">
        <v>36</v>
      </c>
    </row>
    <row r="28" spans="1:2" x14ac:dyDescent="0.25">
      <c r="A28" s="42">
        <v>42011</v>
      </c>
      <c r="B28" s="41">
        <v>14</v>
      </c>
    </row>
    <row r="29" spans="1:2" x14ac:dyDescent="0.25">
      <c r="A29" s="42">
        <v>42025</v>
      </c>
      <c r="B29" s="41">
        <v>6</v>
      </c>
    </row>
    <row r="30" spans="1:2" x14ac:dyDescent="0.25">
      <c r="A30" s="42">
        <v>42039</v>
      </c>
      <c r="B30" s="41">
        <v>42</v>
      </c>
    </row>
    <row r="31" spans="1:2" x14ac:dyDescent="0.25">
      <c r="A31" s="42">
        <v>42053</v>
      </c>
      <c r="B31" s="41">
        <v>1250</v>
      </c>
    </row>
    <row r="32" spans="1:2" x14ac:dyDescent="0.25">
      <c r="A32" s="42">
        <v>42068</v>
      </c>
      <c r="B32" s="41">
        <v>4</v>
      </c>
    </row>
    <row r="33" spans="1:2" x14ac:dyDescent="0.25">
      <c r="A33" s="42">
        <v>42081</v>
      </c>
      <c r="B33" s="41">
        <v>26</v>
      </c>
    </row>
    <row r="34" spans="1:2" x14ac:dyDescent="0.25">
      <c r="A34" s="42">
        <v>42094</v>
      </c>
      <c r="B34" s="41">
        <v>28</v>
      </c>
    </row>
    <row r="35" spans="1:2" x14ac:dyDescent="0.25">
      <c r="A35" s="42">
        <v>42109</v>
      </c>
      <c r="B35" s="41">
        <v>26</v>
      </c>
    </row>
    <row r="36" spans="1:2" x14ac:dyDescent="0.25">
      <c r="A36" s="42">
        <v>42123</v>
      </c>
      <c r="B36" s="41">
        <v>20</v>
      </c>
    </row>
    <row r="37" spans="1:2" x14ac:dyDescent="0.25">
      <c r="A37" s="42">
        <v>42137</v>
      </c>
      <c r="B37" s="41">
        <v>10</v>
      </c>
    </row>
    <row r="38" spans="1:2" x14ac:dyDescent="0.25">
      <c r="A38" s="42">
        <v>42151</v>
      </c>
      <c r="B38" s="41">
        <v>2</v>
      </c>
    </row>
    <row r="39" spans="1:2" x14ac:dyDescent="0.25">
      <c r="A39" s="42">
        <v>42165</v>
      </c>
      <c r="B39" s="41">
        <v>6</v>
      </c>
    </row>
    <row r="40" spans="1:2" x14ac:dyDescent="0.25">
      <c r="A40" s="42">
        <v>42179</v>
      </c>
      <c r="B40" s="41">
        <v>76</v>
      </c>
    </row>
    <row r="41" spans="1:2" x14ac:dyDescent="0.25">
      <c r="A41" s="42">
        <v>42193</v>
      </c>
      <c r="B41" s="41">
        <v>0.66666666699999999</v>
      </c>
    </row>
    <row r="42" spans="1:2" x14ac:dyDescent="0.25">
      <c r="A42" s="42">
        <v>42207</v>
      </c>
      <c r="B42" s="41">
        <v>4</v>
      </c>
    </row>
    <row r="43" spans="1:2" x14ac:dyDescent="0.25">
      <c r="A43" s="42">
        <v>42221</v>
      </c>
      <c r="B43" s="41">
        <v>10</v>
      </c>
    </row>
    <row r="44" spans="1:2" x14ac:dyDescent="0.25">
      <c r="A44" s="42">
        <v>42235</v>
      </c>
      <c r="B44" s="41">
        <v>2</v>
      </c>
    </row>
    <row r="45" spans="1:2" x14ac:dyDescent="0.25">
      <c r="A45" s="42">
        <v>42249</v>
      </c>
      <c r="B45" s="41">
        <v>4</v>
      </c>
    </row>
    <row r="46" spans="1:2" x14ac:dyDescent="0.25">
      <c r="A46" s="42">
        <v>42263</v>
      </c>
      <c r="B46" s="41">
        <v>0.66666666699999999</v>
      </c>
    </row>
    <row r="47" spans="1:2" x14ac:dyDescent="0.25">
      <c r="A47" s="42">
        <v>42277</v>
      </c>
      <c r="B47" s="41">
        <v>2</v>
      </c>
    </row>
    <row r="48" spans="1:2" x14ac:dyDescent="0.25">
      <c r="A48" s="42">
        <v>42291</v>
      </c>
      <c r="B48" s="41">
        <v>0.66666666699999999</v>
      </c>
    </row>
    <row r="49" spans="1:2" x14ac:dyDescent="0.25">
      <c r="A49" s="42">
        <v>42305</v>
      </c>
      <c r="B49" s="41">
        <v>22</v>
      </c>
    </row>
    <row r="50" spans="1:2" x14ac:dyDescent="0.25">
      <c r="A50" s="42">
        <v>42319</v>
      </c>
      <c r="B50" s="41">
        <v>12</v>
      </c>
    </row>
    <row r="51" spans="1:2" x14ac:dyDescent="0.25">
      <c r="A51" s="42">
        <v>42333</v>
      </c>
      <c r="B51" s="41">
        <v>0.66666666699999999</v>
      </c>
    </row>
    <row r="52" spans="1:2" x14ac:dyDescent="0.25">
      <c r="A52" s="42">
        <v>42347</v>
      </c>
      <c r="B52" s="41">
        <v>8</v>
      </c>
    </row>
    <row r="53" spans="1:2" x14ac:dyDescent="0.25">
      <c r="A53" s="42">
        <v>42360</v>
      </c>
      <c r="B53" s="41">
        <v>6</v>
      </c>
    </row>
    <row r="54" spans="1:2" x14ac:dyDescent="0.25">
      <c r="A54" s="42">
        <v>42375</v>
      </c>
      <c r="B54" s="41">
        <v>126</v>
      </c>
    </row>
    <row r="55" spans="1:2" x14ac:dyDescent="0.25">
      <c r="A55" s="42">
        <v>42389</v>
      </c>
      <c r="B55" s="41">
        <v>2</v>
      </c>
    </row>
    <row r="56" spans="1:2" x14ac:dyDescent="0.25">
      <c r="A56" s="42">
        <v>42403</v>
      </c>
      <c r="B56" s="41">
        <v>180</v>
      </c>
    </row>
    <row r="57" spans="1:2" x14ac:dyDescent="0.25">
      <c r="A57" s="42">
        <v>42417</v>
      </c>
      <c r="B57" s="41">
        <v>6</v>
      </c>
    </row>
    <row r="58" spans="1:2" x14ac:dyDescent="0.25">
      <c r="A58" s="42">
        <v>42431</v>
      </c>
      <c r="B58" s="41">
        <v>96</v>
      </c>
    </row>
    <row r="59" spans="1:2" x14ac:dyDescent="0.25">
      <c r="A59" s="42">
        <v>42445</v>
      </c>
      <c r="B59" s="41">
        <v>12</v>
      </c>
    </row>
    <row r="60" spans="1:2" x14ac:dyDescent="0.25">
      <c r="A60" s="42">
        <v>42459</v>
      </c>
      <c r="B60" s="41">
        <v>22</v>
      </c>
    </row>
    <row r="61" spans="1:2" x14ac:dyDescent="0.25">
      <c r="A61" s="42">
        <v>42473</v>
      </c>
      <c r="B61" s="41">
        <v>6</v>
      </c>
    </row>
    <row r="62" spans="1:2" x14ac:dyDescent="0.25">
      <c r="A62" s="42">
        <v>42486</v>
      </c>
      <c r="B62" s="41">
        <v>46</v>
      </c>
    </row>
    <row r="63" spans="1:2" x14ac:dyDescent="0.25">
      <c r="A63" s="42">
        <v>42501</v>
      </c>
      <c r="B63" s="41">
        <v>14</v>
      </c>
    </row>
    <row r="64" spans="1:2" x14ac:dyDescent="0.25">
      <c r="A64" s="42">
        <v>42515</v>
      </c>
      <c r="B64" s="41">
        <v>4</v>
      </c>
    </row>
    <row r="65" spans="1:2" x14ac:dyDescent="0.25">
      <c r="A65" s="42">
        <v>42529</v>
      </c>
      <c r="B65" s="41">
        <v>14</v>
      </c>
    </row>
    <row r="66" spans="1:2" x14ac:dyDescent="0.25">
      <c r="A66" s="42">
        <v>42543</v>
      </c>
      <c r="B66" s="41">
        <v>0.66666666699999999</v>
      </c>
    </row>
    <row r="67" spans="1:2" x14ac:dyDescent="0.25">
      <c r="A67" s="42">
        <v>42557</v>
      </c>
      <c r="B67" s="41">
        <v>40</v>
      </c>
    </row>
    <row r="68" spans="1:2" x14ac:dyDescent="0.25">
      <c r="A68" s="42">
        <v>42571</v>
      </c>
      <c r="B68" s="41">
        <v>2</v>
      </c>
    </row>
    <row r="69" spans="1:2" x14ac:dyDescent="0.25">
      <c r="A69" s="42">
        <v>42592</v>
      </c>
      <c r="B69" s="41">
        <v>0.66666666699999999</v>
      </c>
    </row>
    <row r="70" spans="1:2" x14ac:dyDescent="0.25">
      <c r="A70" s="42">
        <v>42599</v>
      </c>
      <c r="B70" s="41">
        <v>0.66666666699999999</v>
      </c>
    </row>
    <row r="71" spans="1:2" x14ac:dyDescent="0.25">
      <c r="A71" s="42">
        <v>42613</v>
      </c>
      <c r="B71" s="41">
        <v>24</v>
      </c>
    </row>
    <row r="72" spans="1:2" x14ac:dyDescent="0.25">
      <c r="A72" s="42">
        <v>42627</v>
      </c>
      <c r="B72" s="41">
        <v>0.66666666699999999</v>
      </c>
    </row>
    <row r="73" spans="1:2" x14ac:dyDescent="0.25">
      <c r="A73" s="42">
        <v>42641</v>
      </c>
      <c r="B73" s="41">
        <v>4</v>
      </c>
    </row>
    <row r="74" spans="1:2" x14ac:dyDescent="0.25">
      <c r="A74" s="42">
        <v>42655</v>
      </c>
      <c r="B74" s="41">
        <v>4</v>
      </c>
    </row>
    <row r="75" spans="1:2" x14ac:dyDescent="0.25">
      <c r="A75" s="42">
        <v>42669</v>
      </c>
      <c r="B75" s="41">
        <v>6</v>
      </c>
    </row>
    <row r="76" spans="1:2" x14ac:dyDescent="0.25">
      <c r="A76" s="42">
        <v>42683</v>
      </c>
      <c r="B76" s="41">
        <v>0.66666666699999999</v>
      </c>
    </row>
    <row r="77" spans="1:2" x14ac:dyDescent="0.25">
      <c r="A77" s="42">
        <v>42697</v>
      </c>
      <c r="B77" s="41">
        <v>16.666666670000001</v>
      </c>
    </row>
    <row r="78" spans="1:2" x14ac:dyDescent="0.25">
      <c r="A78" s="42">
        <v>42711</v>
      </c>
      <c r="B78" s="41">
        <v>3.3333333330000001</v>
      </c>
    </row>
    <row r="79" spans="1:2" x14ac:dyDescent="0.25">
      <c r="A79" s="42">
        <v>42725</v>
      </c>
      <c r="B79" s="41">
        <v>6</v>
      </c>
    </row>
    <row r="80" spans="1:2" x14ac:dyDescent="0.25">
      <c r="A80" s="42">
        <v>42740</v>
      </c>
      <c r="B80" s="41">
        <v>18</v>
      </c>
    </row>
    <row r="81" spans="1:2" x14ac:dyDescent="0.25">
      <c r="A81" s="42">
        <v>42753</v>
      </c>
      <c r="B81" s="41">
        <v>0.66666666699999999</v>
      </c>
    </row>
    <row r="82" spans="1:2" x14ac:dyDescent="0.25">
      <c r="A82" s="42">
        <v>42767</v>
      </c>
      <c r="B82" s="41">
        <v>4</v>
      </c>
    </row>
    <row r="83" spans="1:2" x14ac:dyDescent="0.25">
      <c r="A83" s="42">
        <v>42781</v>
      </c>
      <c r="B83" s="41">
        <v>12</v>
      </c>
    </row>
    <row r="84" spans="1:2" x14ac:dyDescent="0.25">
      <c r="A84" s="42">
        <v>42795</v>
      </c>
      <c r="B84" s="41">
        <v>82</v>
      </c>
    </row>
    <row r="85" spans="1:2" x14ac:dyDescent="0.25">
      <c r="A85" s="42">
        <v>42809</v>
      </c>
      <c r="B85" s="41">
        <v>2</v>
      </c>
    </row>
    <row r="86" spans="1:2" x14ac:dyDescent="0.25">
      <c r="A86" s="42">
        <v>42823</v>
      </c>
      <c r="B86" s="41">
        <v>46</v>
      </c>
    </row>
    <row r="87" spans="1:2" x14ac:dyDescent="0.25">
      <c r="A87" s="42">
        <v>42836</v>
      </c>
      <c r="B87" s="41">
        <v>6</v>
      </c>
    </row>
    <row r="88" spans="1:2" x14ac:dyDescent="0.25">
      <c r="A88" s="42">
        <v>42851</v>
      </c>
      <c r="B88" s="41">
        <v>120</v>
      </c>
    </row>
    <row r="89" spans="1:2" x14ac:dyDescent="0.25">
      <c r="A89" s="42">
        <v>42865</v>
      </c>
      <c r="B89" s="41">
        <v>6</v>
      </c>
    </row>
    <row r="90" spans="1:2" x14ac:dyDescent="0.25">
      <c r="A90" s="42">
        <v>42879</v>
      </c>
      <c r="B90" s="41">
        <v>182</v>
      </c>
    </row>
    <row r="91" spans="1:2" x14ac:dyDescent="0.25">
      <c r="A91" s="42">
        <v>42894</v>
      </c>
      <c r="B91" s="41">
        <v>92</v>
      </c>
    </row>
    <row r="92" spans="1:2" x14ac:dyDescent="0.25">
      <c r="A92" s="42">
        <v>42907</v>
      </c>
      <c r="B92" s="41">
        <v>0.66666666699999999</v>
      </c>
    </row>
    <row r="93" spans="1:2" x14ac:dyDescent="0.25">
      <c r="A93" s="42">
        <v>42921</v>
      </c>
      <c r="B93" s="41">
        <v>0.66666666699999999</v>
      </c>
    </row>
    <row r="94" spans="1:2" x14ac:dyDescent="0.25">
      <c r="A94" s="42">
        <v>42935</v>
      </c>
      <c r="B94" s="41">
        <v>0.66666666699999999</v>
      </c>
    </row>
    <row r="95" spans="1:2" x14ac:dyDescent="0.25">
      <c r="A95" s="42">
        <v>42949</v>
      </c>
      <c r="B95" s="41">
        <v>0.66666666699999999</v>
      </c>
    </row>
    <row r="96" spans="1:2" x14ac:dyDescent="0.25">
      <c r="A96" s="42">
        <v>42963</v>
      </c>
      <c r="B96" s="41">
        <v>4</v>
      </c>
    </row>
    <row r="97" spans="1:2" x14ac:dyDescent="0.25">
      <c r="A97" s="42">
        <v>42977</v>
      </c>
      <c r="B97" s="41">
        <v>0.66666666699999999</v>
      </c>
    </row>
    <row r="98" spans="1:2" x14ac:dyDescent="0.25">
      <c r="A98" s="42">
        <v>42991</v>
      </c>
      <c r="B98" s="41">
        <v>6</v>
      </c>
    </row>
    <row r="99" spans="1:2" x14ac:dyDescent="0.25">
      <c r="A99" s="42">
        <v>43005</v>
      </c>
      <c r="B99" s="41">
        <v>0.66666666699999999</v>
      </c>
    </row>
    <row r="100" spans="1:2" x14ac:dyDescent="0.25">
      <c r="A100" s="42">
        <v>43019</v>
      </c>
      <c r="B100" s="41">
        <v>0.66666666699999999</v>
      </c>
    </row>
    <row r="101" spans="1:2" x14ac:dyDescent="0.25">
      <c r="A101" s="42">
        <v>43033</v>
      </c>
      <c r="B101" s="41">
        <v>2</v>
      </c>
    </row>
    <row r="102" spans="1:2" x14ac:dyDescent="0.25">
      <c r="A102" s="42">
        <v>43047</v>
      </c>
      <c r="B102" s="41">
        <v>6</v>
      </c>
    </row>
    <row r="103" spans="1:2" x14ac:dyDescent="0.25">
      <c r="A103" s="42">
        <v>43061</v>
      </c>
      <c r="B103" s="41">
        <v>10</v>
      </c>
    </row>
    <row r="104" spans="1:2" x14ac:dyDescent="0.25">
      <c r="A104" s="42">
        <v>43075</v>
      </c>
      <c r="B104" s="41">
        <v>20</v>
      </c>
    </row>
    <row r="105" spans="1:2" x14ac:dyDescent="0.25">
      <c r="A105" s="42">
        <v>43089</v>
      </c>
      <c r="B105" s="41">
        <v>2</v>
      </c>
    </row>
    <row r="106" spans="1:2" x14ac:dyDescent="0.25">
      <c r="A106" s="42">
        <v>43103</v>
      </c>
      <c r="B106" s="41">
        <v>38</v>
      </c>
    </row>
    <row r="107" spans="1:2" x14ac:dyDescent="0.25">
      <c r="A107" s="42">
        <v>43117</v>
      </c>
      <c r="B107" s="41">
        <v>12</v>
      </c>
    </row>
    <row r="108" spans="1:2" x14ac:dyDescent="0.25">
      <c r="A108" s="42">
        <v>43131</v>
      </c>
      <c r="B108" s="41">
        <v>0.66666666699999999</v>
      </c>
    </row>
    <row r="109" spans="1:2" x14ac:dyDescent="0.25">
      <c r="A109" s="42">
        <v>43145</v>
      </c>
      <c r="B109" s="41">
        <v>0.66666666699999999</v>
      </c>
    </row>
    <row r="110" spans="1:2" x14ac:dyDescent="0.25">
      <c r="A110" s="42">
        <v>43159</v>
      </c>
      <c r="B110" s="41">
        <v>20</v>
      </c>
    </row>
    <row r="111" spans="1:2" x14ac:dyDescent="0.25">
      <c r="A111" s="42">
        <v>43173</v>
      </c>
      <c r="B111" s="41">
        <v>28</v>
      </c>
    </row>
    <row r="112" spans="1:2" x14ac:dyDescent="0.25">
      <c r="A112" s="42">
        <v>43186</v>
      </c>
      <c r="B112" s="41">
        <v>4</v>
      </c>
    </row>
    <row r="113" spans="1:2" x14ac:dyDescent="0.25">
      <c r="A113" s="42">
        <v>43201</v>
      </c>
      <c r="B113" s="41">
        <v>22</v>
      </c>
    </row>
    <row r="114" spans="1:2" x14ac:dyDescent="0.25">
      <c r="A114" s="42">
        <v>43215</v>
      </c>
      <c r="B114" s="41">
        <v>48</v>
      </c>
    </row>
    <row r="115" spans="1:2" x14ac:dyDescent="0.25">
      <c r="A115" s="42">
        <v>43229</v>
      </c>
      <c r="B115" s="41">
        <v>2</v>
      </c>
    </row>
    <row r="116" spans="1:2" x14ac:dyDescent="0.25">
      <c r="A116" s="42">
        <v>43243</v>
      </c>
      <c r="B116" s="41">
        <v>12</v>
      </c>
    </row>
    <row r="117" spans="1:2" x14ac:dyDescent="0.25">
      <c r="A117" s="42">
        <v>43257</v>
      </c>
      <c r="B117" s="41">
        <v>0.66666666699999999</v>
      </c>
    </row>
    <row r="118" spans="1:2" x14ac:dyDescent="0.25">
      <c r="A118" s="42">
        <v>43271</v>
      </c>
      <c r="B118" s="41">
        <v>6</v>
      </c>
    </row>
    <row r="119" spans="1:2" x14ac:dyDescent="0.25">
      <c r="A119" s="42">
        <v>43285</v>
      </c>
      <c r="B119" s="41">
        <v>0.66666666699999999</v>
      </c>
    </row>
    <row r="120" spans="1:2" x14ac:dyDescent="0.25">
      <c r="A120" s="42">
        <v>43299</v>
      </c>
      <c r="B120" s="41">
        <v>0.66666666699999999</v>
      </c>
    </row>
    <row r="121" spans="1:2" x14ac:dyDescent="0.25">
      <c r="A121" s="42">
        <v>43313</v>
      </c>
      <c r="B121" s="41">
        <v>2</v>
      </c>
    </row>
    <row r="122" spans="1:2" x14ac:dyDescent="0.25">
      <c r="A122" s="42">
        <v>43327</v>
      </c>
      <c r="B122" s="41">
        <v>12</v>
      </c>
    </row>
    <row r="123" spans="1:2" x14ac:dyDescent="0.25">
      <c r="A123" s="42">
        <v>43341</v>
      </c>
      <c r="B123" s="41">
        <v>2</v>
      </c>
    </row>
    <row r="124" spans="1:2" x14ac:dyDescent="0.25">
      <c r="A124" s="42">
        <v>43355</v>
      </c>
      <c r="B124" s="41">
        <v>12</v>
      </c>
    </row>
    <row r="125" spans="1:2" x14ac:dyDescent="0.25">
      <c r="A125" s="42">
        <v>43369</v>
      </c>
      <c r="B125" s="41">
        <v>12</v>
      </c>
    </row>
    <row r="126" spans="1:2" x14ac:dyDescent="0.25">
      <c r="A126" s="42">
        <v>43383</v>
      </c>
      <c r="B126" s="41">
        <v>2</v>
      </c>
    </row>
    <row r="127" spans="1:2" x14ac:dyDescent="0.25">
      <c r="A127" s="42">
        <v>43397.422222222223</v>
      </c>
      <c r="B127" s="41">
        <v>14</v>
      </c>
    </row>
    <row r="128" spans="1:2" x14ac:dyDescent="0.25">
      <c r="A128" s="42">
        <v>43411.482638888891</v>
      </c>
      <c r="B128" s="41">
        <v>2</v>
      </c>
    </row>
    <row r="129" spans="1:2" x14ac:dyDescent="0.25">
      <c r="A129" s="42">
        <v>43425.495138888888</v>
      </c>
      <c r="B129" s="41">
        <v>10</v>
      </c>
    </row>
    <row r="130" spans="1:2" x14ac:dyDescent="0.25">
      <c r="A130" s="42">
        <v>43439</v>
      </c>
      <c r="B130" s="41">
        <v>22</v>
      </c>
    </row>
    <row r="131" spans="1:2" x14ac:dyDescent="0.25">
      <c r="A131" s="42">
        <v>43453</v>
      </c>
      <c r="B131" s="41">
        <v>450</v>
      </c>
    </row>
    <row r="132" spans="1:2" x14ac:dyDescent="0.25">
      <c r="A132" s="42">
        <v>43481.488194444442</v>
      </c>
      <c r="B132" s="41">
        <v>4</v>
      </c>
    </row>
    <row r="133" spans="1:2" x14ac:dyDescent="0.25">
      <c r="A133" s="42">
        <v>43495</v>
      </c>
      <c r="B133" s="41">
        <v>62</v>
      </c>
    </row>
    <row r="134" spans="1:2" x14ac:dyDescent="0.25">
      <c r="A134" s="42">
        <v>43509.515972222223</v>
      </c>
      <c r="B134" s="41">
        <v>0.66666666699999999</v>
      </c>
    </row>
    <row r="135" spans="1:2" x14ac:dyDescent="0.25">
      <c r="A135" s="42">
        <v>43523.511111111111</v>
      </c>
      <c r="B135" s="41">
        <v>20</v>
      </c>
    </row>
    <row r="136" spans="1:2" x14ac:dyDescent="0.25">
      <c r="A136" s="42">
        <v>43537</v>
      </c>
      <c r="B136" s="41">
        <v>6</v>
      </c>
    </row>
    <row r="137" spans="1:2" x14ac:dyDescent="0.25">
      <c r="A137" s="42">
        <v>43551</v>
      </c>
      <c r="B137" s="41">
        <v>8</v>
      </c>
    </row>
    <row r="138" spans="1:2" x14ac:dyDescent="0.25">
      <c r="A138" s="42">
        <v>43565</v>
      </c>
      <c r="B138" s="41">
        <v>20</v>
      </c>
    </row>
    <row r="139" spans="1:2" x14ac:dyDescent="0.25">
      <c r="A139" s="42">
        <v>43579</v>
      </c>
      <c r="B139" s="41">
        <v>0.66666666699999999</v>
      </c>
    </row>
    <row r="140" spans="1:2" x14ac:dyDescent="0.25">
      <c r="A140" s="42">
        <v>43592</v>
      </c>
      <c r="B140" s="44">
        <v>4</v>
      </c>
    </row>
    <row r="141" spans="1:2" x14ac:dyDescent="0.25">
      <c r="A141" s="42">
        <v>43607</v>
      </c>
      <c r="B141" s="44">
        <v>2</v>
      </c>
    </row>
    <row r="142" spans="1:2" x14ac:dyDescent="0.25">
      <c r="A142" s="42">
        <v>43621</v>
      </c>
      <c r="B142" s="44">
        <v>124</v>
      </c>
    </row>
    <row r="143" spans="1:2" x14ac:dyDescent="0.25">
      <c r="A143" s="42">
        <v>43635</v>
      </c>
      <c r="B143" s="44">
        <v>2</v>
      </c>
    </row>
    <row r="144" spans="1:2" x14ac:dyDescent="0.25">
      <c r="A144" s="42">
        <v>43650</v>
      </c>
      <c r="B144" s="41">
        <v>0.66666666699999999</v>
      </c>
    </row>
    <row r="145" spans="1:2" x14ac:dyDescent="0.25">
      <c r="A145" s="42">
        <v>43663</v>
      </c>
      <c r="B145" s="44">
        <v>24</v>
      </c>
    </row>
    <row r="146" spans="1:2" x14ac:dyDescent="0.25">
      <c r="A146" s="42">
        <v>43677</v>
      </c>
      <c r="B146" s="44">
        <v>34</v>
      </c>
    </row>
    <row r="147" spans="1:2" x14ac:dyDescent="0.25">
      <c r="A147" s="42">
        <v>43691</v>
      </c>
      <c r="B147" s="44">
        <v>2</v>
      </c>
    </row>
    <row r="148" spans="1:2" x14ac:dyDescent="0.25">
      <c r="A148" s="42">
        <v>43705</v>
      </c>
      <c r="B148" s="44">
        <v>86</v>
      </c>
    </row>
    <row r="149" spans="1:2" x14ac:dyDescent="0.25">
      <c r="A149" s="42">
        <v>43747</v>
      </c>
      <c r="B149" s="41">
        <v>0.66666666699999999</v>
      </c>
    </row>
    <row r="150" spans="1:2" x14ac:dyDescent="0.25">
      <c r="A150" s="42">
        <v>43761</v>
      </c>
      <c r="B150" s="44">
        <v>112</v>
      </c>
    </row>
    <row r="151" spans="1:2" x14ac:dyDescent="0.25">
      <c r="A151" s="42">
        <v>43775</v>
      </c>
      <c r="B151" s="44">
        <v>6</v>
      </c>
    </row>
    <row r="152" spans="1:2" x14ac:dyDescent="0.25">
      <c r="A152" s="42">
        <v>43789</v>
      </c>
      <c r="B152" s="44">
        <v>12</v>
      </c>
    </row>
    <row r="153" spans="1:2" x14ac:dyDescent="0.25">
      <c r="A153" s="46">
        <v>43804</v>
      </c>
      <c r="B153" s="44">
        <v>700</v>
      </c>
    </row>
    <row r="154" spans="1:2" x14ac:dyDescent="0.25">
      <c r="A154" s="46">
        <v>43817</v>
      </c>
      <c r="B154" s="44">
        <v>40</v>
      </c>
    </row>
    <row r="155" spans="1:2" x14ac:dyDescent="0.25">
      <c r="A155" s="46">
        <v>43832</v>
      </c>
      <c r="B155" s="44">
        <v>20</v>
      </c>
    </row>
    <row r="156" spans="1:2" x14ac:dyDescent="0.25">
      <c r="A156" s="46">
        <v>43845</v>
      </c>
      <c r="B156" s="44">
        <v>2</v>
      </c>
    </row>
    <row r="157" spans="1:2" x14ac:dyDescent="0.25">
      <c r="A157" s="46">
        <v>43859</v>
      </c>
      <c r="B157" s="44">
        <v>6</v>
      </c>
    </row>
    <row r="158" spans="1:2" x14ac:dyDescent="0.25">
      <c r="A158" s="46">
        <v>43873</v>
      </c>
      <c r="B158" s="44">
        <v>16</v>
      </c>
    </row>
    <row r="159" spans="1:2" x14ac:dyDescent="0.25">
      <c r="A159" s="46">
        <v>43887</v>
      </c>
      <c r="B159" s="44">
        <v>6</v>
      </c>
    </row>
    <row r="160" spans="1:2" x14ac:dyDescent="0.25">
      <c r="A160" s="46">
        <v>43901</v>
      </c>
      <c r="B160" s="44">
        <v>168</v>
      </c>
    </row>
    <row r="161" spans="1:2" x14ac:dyDescent="0.25">
      <c r="A161" s="46">
        <v>44069</v>
      </c>
      <c r="B161" s="44">
        <v>12</v>
      </c>
    </row>
    <row r="162" spans="1:2" x14ac:dyDescent="0.25">
      <c r="A162" s="46">
        <v>44111</v>
      </c>
      <c r="B162" s="44">
        <v>0.22184874961635634</v>
      </c>
    </row>
    <row r="163" spans="1:2" x14ac:dyDescent="0.25">
      <c r="A163" s="46">
        <v>44124</v>
      </c>
      <c r="B163" s="44">
        <f>2/3</f>
        <v>0.66666666666666663</v>
      </c>
    </row>
    <row r="164" spans="1:2" x14ac:dyDescent="0.25">
      <c r="A164" s="46">
        <v>44139</v>
      </c>
      <c r="B164" s="44">
        <v>4</v>
      </c>
    </row>
    <row r="165" spans="1:2" x14ac:dyDescent="0.25">
      <c r="A165" s="46">
        <v>44153</v>
      </c>
      <c r="B165" s="44">
        <v>10</v>
      </c>
    </row>
    <row r="166" spans="1:2" x14ac:dyDescent="0.25">
      <c r="A166" s="46">
        <v>44167</v>
      </c>
      <c r="B166" s="44">
        <v>4</v>
      </c>
    </row>
    <row r="167" spans="1:2" x14ac:dyDescent="0.25">
      <c r="A167" s="46">
        <v>44180</v>
      </c>
      <c r="B167" s="44">
        <v>8</v>
      </c>
    </row>
    <row r="168" spans="1:2" x14ac:dyDescent="0.25">
      <c r="A168" s="46">
        <v>44237</v>
      </c>
      <c r="B168" s="44">
        <v>4</v>
      </c>
    </row>
    <row r="169" spans="1:2" x14ac:dyDescent="0.25">
      <c r="A169" s="46">
        <v>44266</v>
      </c>
      <c r="B169" s="44">
        <v>12</v>
      </c>
    </row>
    <row r="170" spans="1:2" x14ac:dyDescent="0.25">
      <c r="A170" s="46">
        <v>44293</v>
      </c>
      <c r="B170" s="44">
        <v>26</v>
      </c>
    </row>
    <row r="171" spans="1:2" x14ac:dyDescent="0.25">
      <c r="A171" s="46">
        <v>44307</v>
      </c>
      <c r="B171" s="44">
        <f>2/3</f>
        <v>0.66666666666666663</v>
      </c>
    </row>
    <row r="172" spans="1:2" x14ac:dyDescent="0.25">
      <c r="A172" s="46">
        <v>44321</v>
      </c>
      <c r="B172" s="44">
        <v>18</v>
      </c>
    </row>
    <row r="173" spans="1:2" x14ac:dyDescent="0.25">
      <c r="A173" s="46">
        <v>44349</v>
      </c>
      <c r="B173" s="44">
        <v>44</v>
      </c>
    </row>
    <row r="174" spans="1:2" x14ac:dyDescent="0.25">
      <c r="A174" s="46">
        <v>44405</v>
      </c>
      <c r="B174" s="44">
        <v>38</v>
      </c>
    </row>
    <row r="175" spans="1:2" x14ac:dyDescent="0.25">
      <c r="A175" s="46">
        <v>44433</v>
      </c>
      <c r="B175" s="44">
        <v>184</v>
      </c>
    </row>
    <row r="176" spans="1:2" x14ac:dyDescent="0.25">
      <c r="A176" s="46">
        <v>44447</v>
      </c>
      <c r="B176" s="44">
        <v>32</v>
      </c>
    </row>
    <row r="177" spans="1:2" x14ac:dyDescent="0.25">
      <c r="A177" s="46">
        <v>44461</v>
      </c>
      <c r="B177" s="44">
        <f>2/3</f>
        <v>0.66666666666666663</v>
      </c>
    </row>
    <row r="178" spans="1:2" x14ac:dyDescent="0.25">
      <c r="A178" s="46">
        <v>44475</v>
      </c>
      <c r="B178" s="44">
        <v>146</v>
      </c>
    </row>
    <row r="179" spans="1:2" x14ac:dyDescent="0.25">
      <c r="A179" s="46">
        <v>44517</v>
      </c>
      <c r="B179" s="44">
        <v>31</v>
      </c>
    </row>
    <row r="180" spans="1:2" x14ac:dyDescent="0.25">
      <c r="A180" s="46">
        <v>44588</v>
      </c>
      <c r="B180" s="44">
        <v>60</v>
      </c>
    </row>
    <row r="181" spans="1:2" x14ac:dyDescent="0.25">
      <c r="A181" s="46">
        <v>44602</v>
      </c>
      <c r="B181" s="44">
        <v>140</v>
      </c>
    </row>
    <row r="182" spans="1:2" x14ac:dyDescent="0.25">
      <c r="A182" s="46">
        <v>44630</v>
      </c>
      <c r="B182" s="44">
        <v>41</v>
      </c>
    </row>
    <row r="183" spans="1:2" x14ac:dyDescent="0.25">
      <c r="A183" s="46">
        <v>44685</v>
      </c>
      <c r="B183" s="44">
        <f>10/3</f>
        <v>3.3333333333333335</v>
      </c>
    </row>
    <row r="184" spans="1:2" x14ac:dyDescent="0.25">
      <c r="A184" s="46">
        <v>44700</v>
      </c>
      <c r="B184" s="44">
        <v>76</v>
      </c>
    </row>
    <row r="185" spans="1:2" x14ac:dyDescent="0.25">
      <c r="A185" s="46">
        <v>44714</v>
      </c>
      <c r="B185" s="44">
        <f>1/3</f>
        <v>0.33333333333333331</v>
      </c>
    </row>
    <row r="186" spans="1:2" x14ac:dyDescent="0.25">
      <c r="A186" s="46">
        <v>44756</v>
      </c>
      <c r="B186" s="44">
        <v>6</v>
      </c>
    </row>
    <row r="187" spans="1:2" x14ac:dyDescent="0.25">
      <c r="A187" s="46">
        <v>44784</v>
      </c>
      <c r="B187" s="44">
        <v>100</v>
      </c>
    </row>
    <row r="188" spans="1:2" x14ac:dyDescent="0.25">
      <c r="A188" s="46">
        <v>44812</v>
      </c>
      <c r="B188" s="44">
        <f>1/3</f>
        <v>0.33333333333333331</v>
      </c>
    </row>
    <row r="189" spans="1:2" x14ac:dyDescent="0.25">
      <c r="A189" s="46">
        <v>44826</v>
      </c>
      <c r="B189" s="44">
        <v>10</v>
      </c>
    </row>
    <row r="190" spans="1:2" x14ac:dyDescent="0.25">
      <c r="A190" s="46">
        <v>44952</v>
      </c>
      <c r="B190" s="44">
        <v>2420</v>
      </c>
    </row>
    <row r="191" spans="1:2" x14ac:dyDescent="0.25">
      <c r="A191" s="46">
        <v>44966</v>
      </c>
      <c r="B191" s="44">
        <v>32</v>
      </c>
    </row>
    <row r="192" spans="1:2" x14ac:dyDescent="0.25">
      <c r="A192" s="46">
        <v>44994</v>
      </c>
      <c r="B192" s="44">
        <v>115</v>
      </c>
    </row>
    <row r="193" spans="1:2" x14ac:dyDescent="0.25">
      <c r="A193" s="46">
        <v>45021</v>
      </c>
      <c r="B193" s="44">
        <v>727</v>
      </c>
    </row>
    <row r="194" spans="1:2" x14ac:dyDescent="0.25">
      <c r="A194" s="46">
        <v>45022</v>
      </c>
      <c r="B194" s="44">
        <v>727</v>
      </c>
    </row>
    <row r="195" spans="1:2" x14ac:dyDescent="0.25">
      <c r="A195" s="46">
        <v>45035</v>
      </c>
      <c r="B195" s="44">
        <v>1046</v>
      </c>
    </row>
    <row r="196" spans="1:2" x14ac:dyDescent="0.25">
      <c r="A196" s="46">
        <v>45036</v>
      </c>
      <c r="B196" s="44">
        <v>1046</v>
      </c>
    </row>
    <row r="197" spans="1:2" x14ac:dyDescent="0.25">
      <c r="A197" s="46">
        <v>45064</v>
      </c>
      <c r="B197" s="44">
        <v>158</v>
      </c>
    </row>
    <row r="198" spans="1:2" x14ac:dyDescent="0.25">
      <c r="A198" s="46">
        <v>45078</v>
      </c>
      <c r="B198" s="44">
        <v>770</v>
      </c>
    </row>
    <row r="199" spans="1:2" x14ac:dyDescent="0.25">
      <c r="A199" s="46">
        <v>45092</v>
      </c>
      <c r="B199" s="44">
        <v>61</v>
      </c>
    </row>
    <row r="200" spans="1:2" x14ac:dyDescent="0.25">
      <c r="A200" s="46">
        <v>45106</v>
      </c>
      <c r="B200" s="44">
        <v>16</v>
      </c>
    </row>
    <row r="201" spans="1:2" x14ac:dyDescent="0.25">
      <c r="A201" s="46">
        <v>45120</v>
      </c>
      <c r="B201" s="44">
        <v>166</v>
      </c>
    </row>
    <row r="202" spans="1:2" x14ac:dyDescent="0.25">
      <c r="A202" s="46">
        <v>45134</v>
      </c>
      <c r="B202" s="44">
        <v>9</v>
      </c>
    </row>
    <row r="203" spans="1:2" x14ac:dyDescent="0.25">
      <c r="A203" s="46">
        <v>45158.570138888892</v>
      </c>
      <c r="B203" s="44">
        <v>15531</v>
      </c>
    </row>
    <row r="204" spans="1:2" x14ac:dyDescent="0.25">
      <c r="A204" s="46">
        <v>45159.563888888886</v>
      </c>
      <c r="B204" s="44">
        <v>2282</v>
      </c>
    </row>
    <row r="205" spans="1:2" x14ac:dyDescent="0.25">
      <c r="A205" s="46">
        <v>45160.5625</v>
      </c>
      <c r="B205" s="44">
        <v>988</v>
      </c>
    </row>
    <row r="206" spans="1:2" x14ac:dyDescent="0.25">
      <c r="A206" s="46">
        <v>45161</v>
      </c>
      <c r="B206" s="44">
        <v>168</v>
      </c>
    </row>
    <row r="207" spans="1:2" x14ac:dyDescent="0.25">
      <c r="A207" s="46">
        <v>45162</v>
      </c>
      <c r="B207" s="44">
        <f>1/3</f>
        <v>0.33333333333333331</v>
      </c>
    </row>
    <row r="208" spans="1:2" x14ac:dyDescent="0.25">
      <c r="A208" s="46">
        <v>45176</v>
      </c>
      <c r="B208" s="44">
        <v>11</v>
      </c>
    </row>
    <row r="209" spans="1:2" x14ac:dyDescent="0.25">
      <c r="A209" s="46">
        <v>45190</v>
      </c>
      <c r="B209" s="44">
        <v>5</v>
      </c>
    </row>
    <row r="210" spans="1:2" x14ac:dyDescent="0.25">
      <c r="A210" s="46">
        <v>45218</v>
      </c>
      <c r="B210" s="44">
        <v>114</v>
      </c>
    </row>
    <row r="211" spans="1:2" x14ac:dyDescent="0.25">
      <c r="A211" s="46">
        <v>45231</v>
      </c>
      <c r="B211" s="44">
        <v>93</v>
      </c>
    </row>
    <row r="212" spans="1:2" x14ac:dyDescent="0.25">
      <c r="A212" s="46">
        <v>45246</v>
      </c>
      <c r="B212" s="44">
        <v>82</v>
      </c>
    </row>
    <row r="213" spans="1:2" x14ac:dyDescent="0.25">
      <c r="A213" s="46">
        <v>45260</v>
      </c>
      <c r="B213" s="44">
        <v>921</v>
      </c>
    </row>
    <row r="214" spans="1:2" x14ac:dyDescent="0.25">
      <c r="A214" s="46">
        <v>45302</v>
      </c>
      <c r="B214" s="44">
        <v>75</v>
      </c>
    </row>
    <row r="215" spans="1:2" x14ac:dyDescent="0.25">
      <c r="A215" s="46">
        <v>45329</v>
      </c>
      <c r="B215" s="44">
        <v>97</v>
      </c>
    </row>
    <row r="216" spans="1:2" x14ac:dyDescent="0.25">
      <c r="A216" s="46">
        <v>45344</v>
      </c>
      <c r="B216" s="44">
        <v>10</v>
      </c>
    </row>
    <row r="217" spans="1:2" x14ac:dyDescent="0.25">
      <c r="A217" s="46">
        <v>45511</v>
      </c>
      <c r="B217" s="44">
        <v>41</v>
      </c>
    </row>
    <row r="221" spans="1:2" x14ac:dyDescent="0.25">
      <c r="A221" s="49"/>
      <c r="B221" s="45"/>
    </row>
    <row r="222" spans="1:2" x14ac:dyDescent="0.25">
      <c r="A222" s="49"/>
      <c r="B222" s="45"/>
    </row>
    <row r="223" spans="1:2" x14ac:dyDescent="0.25">
      <c r="A223" s="49"/>
      <c r="B223" s="45"/>
    </row>
    <row r="224" spans="1:2" x14ac:dyDescent="0.25">
      <c r="A224" s="49"/>
      <c r="B224" s="45"/>
    </row>
    <row r="225" spans="1:2" x14ac:dyDescent="0.25">
      <c r="A225" s="49"/>
      <c r="B225" s="45"/>
    </row>
    <row r="226" spans="1:2" x14ac:dyDescent="0.25">
      <c r="A226" s="49"/>
      <c r="B226" s="45"/>
    </row>
    <row r="227" spans="1:2" x14ac:dyDescent="0.25">
      <c r="A227" s="49"/>
      <c r="B227" s="45"/>
    </row>
    <row r="228" spans="1:2" x14ac:dyDescent="0.25">
      <c r="A228" s="49"/>
      <c r="B228" s="45"/>
    </row>
    <row r="229" spans="1:2" x14ac:dyDescent="0.25">
      <c r="A229" s="49"/>
      <c r="B229" s="45"/>
    </row>
    <row r="230" spans="1:2" x14ac:dyDescent="0.25">
      <c r="A230" s="49"/>
      <c r="B230" s="45"/>
    </row>
    <row r="231" spans="1:2" x14ac:dyDescent="0.25">
      <c r="A231" s="49"/>
      <c r="B231" s="45"/>
    </row>
    <row r="232" spans="1:2" x14ac:dyDescent="0.25">
      <c r="A232" s="49"/>
      <c r="B232" s="45"/>
    </row>
    <row r="233" spans="1:2" x14ac:dyDescent="0.25">
      <c r="A233" s="49"/>
      <c r="B233" s="45"/>
    </row>
    <row r="234" spans="1:2" x14ac:dyDescent="0.25">
      <c r="A234" s="49"/>
      <c r="B234" s="45"/>
    </row>
    <row r="235" spans="1:2" x14ac:dyDescent="0.25">
      <c r="A235" s="49"/>
      <c r="B235" s="45"/>
    </row>
    <row r="236" spans="1:2" x14ac:dyDescent="0.25">
      <c r="A236" s="49"/>
      <c r="B236" s="45"/>
    </row>
    <row r="237" spans="1:2" x14ac:dyDescent="0.25">
      <c r="A237" s="49"/>
      <c r="B237" s="45"/>
    </row>
    <row r="238" spans="1:2" x14ac:dyDescent="0.25">
      <c r="A238" s="49"/>
      <c r="B238" s="45"/>
    </row>
    <row r="239" spans="1:2" x14ac:dyDescent="0.25">
      <c r="A239" s="49"/>
      <c r="B239" s="45"/>
    </row>
    <row r="240" spans="1:2" x14ac:dyDescent="0.25">
      <c r="A240" s="49"/>
      <c r="B240" s="45"/>
    </row>
    <row r="241" spans="1:2" x14ac:dyDescent="0.25">
      <c r="A241" s="49"/>
      <c r="B241" s="45"/>
    </row>
    <row r="242" spans="1:2" x14ac:dyDescent="0.25">
      <c r="A242" s="49"/>
      <c r="B242" s="45"/>
    </row>
  </sheetData>
  <sortState ref="A2:B217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155:B228 B137:B149 B91:B110 B124:B134 B2:B89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3"/>
  <sheetViews>
    <sheetView workbookViewId="0">
      <pane ySplit="1" topLeftCell="A179" activePane="bottomLeft" state="frozen"/>
      <selection pane="bottomLeft" activeCell="B204" sqref="B204"/>
    </sheetView>
  </sheetViews>
  <sheetFormatPr defaultRowHeight="15" x14ac:dyDescent="0.25"/>
  <cols>
    <col min="1" max="1" width="32.28515625" style="51" customWidth="1"/>
    <col min="2" max="2" width="12" style="44" bestFit="1" customWidth="1"/>
  </cols>
  <sheetData>
    <row r="1" spans="1:2" s="1" customFormat="1" x14ac:dyDescent="0.25">
      <c r="A1" s="50" t="s">
        <v>0</v>
      </c>
      <c r="B1" s="48" t="s">
        <v>2</v>
      </c>
    </row>
    <row r="2" spans="1:2" x14ac:dyDescent="0.25">
      <c r="A2" s="42">
        <v>41647</v>
      </c>
      <c r="B2" s="41">
        <v>27</v>
      </c>
    </row>
    <row r="3" spans="1:2" x14ac:dyDescent="0.25">
      <c r="A3" s="42">
        <v>41661</v>
      </c>
      <c r="B3" s="41">
        <v>9</v>
      </c>
    </row>
    <row r="4" spans="1:2" x14ac:dyDescent="0.25">
      <c r="A4" s="42">
        <v>41675</v>
      </c>
      <c r="B4" s="41">
        <v>36</v>
      </c>
    </row>
    <row r="5" spans="1:2" x14ac:dyDescent="0.25">
      <c r="A5" s="42">
        <v>41689</v>
      </c>
      <c r="B5" s="41">
        <v>150</v>
      </c>
    </row>
    <row r="6" spans="1:2" x14ac:dyDescent="0.25">
      <c r="A6" s="42">
        <v>41703</v>
      </c>
      <c r="B6" s="41">
        <v>17</v>
      </c>
    </row>
    <row r="7" spans="1:2" x14ac:dyDescent="0.25">
      <c r="A7" s="42">
        <v>41717</v>
      </c>
      <c r="B7" s="41">
        <v>150</v>
      </c>
    </row>
    <row r="8" spans="1:2" x14ac:dyDescent="0.25">
      <c r="A8" s="42">
        <v>41731</v>
      </c>
      <c r="B8" s="41">
        <v>1000</v>
      </c>
    </row>
    <row r="9" spans="1:2" x14ac:dyDescent="0.25">
      <c r="A9" s="42">
        <v>41745</v>
      </c>
      <c r="B9" s="41">
        <v>44</v>
      </c>
    </row>
    <row r="10" spans="1:2" x14ac:dyDescent="0.25">
      <c r="A10" s="42">
        <v>41759</v>
      </c>
      <c r="B10" s="41">
        <v>17</v>
      </c>
    </row>
    <row r="11" spans="1:2" x14ac:dyDescent="0.25">
      <c r="A11" s="42">
        <v>41773</v>
      </c>
      <c r="B11" s="41">
        <v>20</v>
      </c>
    </row>
    <row r="12" spans="1:2" x14ac:dyDescent="0.25">
      <c r="A12" s="42">
        <v>41787</v>
      </c>
      <c r="B12" s="41">
        <v>51</v>
      </c>
    </row>
    <row r="13" spans="1:2" x14ac:dyDescent="0.25">
      <c r="A13" s="42">
        <v>41801</v>
      </c>
      <c r="B13" s="41">
        <v>17</v>
      </c>
    </row>
    <row r="14" spans="1:2" x14ac:dyDescent="0.25">
      <c r="A14" s="42">
        <v>41815</v>
      </c>
      <c r="B14" s="41">
        <v>25</v>
      </c>
    </row>
    <row r="15" spans="1:2" x14ac:dyDescent="0.25">
      <c r="A15" s="42">
        <v>41829</v>
      </c>
      <c r="B15" s="41">
        <v>4</v>
      </c>
    </row>
    <row r="16" spans="1:2" x14ac:dyDescent="0.25">
      <c r="A16" s="42">
        <v>41843</v>
      </c>
      <c r="B16" s="41">
        <v>1</v>
      </c>
    </row>
    <row r="17" spans="1:2" x14ac:dyDescent="0.25">
      <c r="A17" s="42">
        <v>41857</v>
      </c>
      <c r="B17" s="41">
        <v>27</v>
      </c>
    </row>
    <row r="18" spans="1:2" x14ac:dyDescent="0.25">
      <c r="A18" s="42">
        <v>41871</v>
      </c>
      <c r="B18" s="41">
        <v>1200</v>
      </c>
    </row>
    <row r="19" spans="1:2" x14ac:dyDescent="0.25">
      <c r="A19" s="42">
        <v>41885</v>
      </c>
      <c r="B19" s="41">
        <v>8</v>
      </c>
    </row>
    <row r="20" spans="1:2" x14ac:dyDescent="0.25">
      <c r="A20" s="42">
        <v>41899</v>
      </c>
      <c r="B20" s="41">
        <v>2</v>
      </c>
    </row>
    <row r="21" spans="1:2" x14ac:dyDescent="0.25">
      <c r="A21" s="42">
        <v>41913</v>
      </c>
      <c r="B21" s="41">
        <v>1</v>
      </c>
    </row>
    <row r="22" spans="1:2" x14ac:dyDescent="0.25">
      <c r="A22" s="42">
        <v>41927</v>
      </c>
      <c r="B22" s="41">
        <v>1</v>
      </c>
    </row>
    <row r="23" spans="1:2" x14ac:dyDescent="0.25">
      <c r="A23" s="42">
        <v>41941</v>
      </c>
      <c r="B23" s="41">
        <v>12</v>
      </c>
    </row>
    <row r="24" spans="1:2" x14ac:dyDescent="0.25">
      <c r="A24" s="42">
        <v>41955</v>
      </c>
      <c r="B24" s="41">
        <v>97</v>
      </c>
    </row>
    <row r="25" spans="1:2" x14ac:dyDescent="0.25">
      <c r="A25" s="42">
        <v>41969</v>
      </c>
      <c r="B25" s="41">
        <v>0.33333333300000001</v>
      </c>
    </row>
    <row r="26" spans="1:2" x14ac:dyDescent="0.25">
      <c r="A26" s="42">
        <v>41983</v>
      </c>
      <c r="B26" s="41">
        <v>0.33333333300000001</v>
      </c>
    </row>
    <row r="27" spans="1:2" x14ac:dyDescent="0.25">
      <c r="A27" s="42">
        <v>41991</v>
      </c>
      <c r="B27" s="41">
        <v>5</v>
      </c>
    </row>
    <row r="28" spans="1:2" x14ac:dyDescent="0.25">
      <c r="A28" s="42">
        <v>42011</v>
      </c>
      <c r="B28" s="41">
        <v>26</v>
      </c>
    </row>
    <row r="29" spans="1:2" x14ac:dyDescent="0.25">
      <c r="A29" s="42">
        <v>42025</v>
      </c>
      <c r="B29" s="41">
        <v>13</v>
      </c>
    </row>
    <row r="30" spans="1:2" x14ac:dyDescent="0.25">
      <c r="A30" s="42">
        <v>42039</v>
      </c>
      <c r="B30" s="41">
        <v>25</v>
      </c>
    </row>
    <row r="31" spans="1:2" x14ac:dyDescent="0.25">
      <c r="A31" s="42">
        <v>42053</v>
      </c>
      <c r="B31" s="41">
        <v>80</v>
      </c>
    </row>
    <row r="32" spans="1:2" x14ac:dyDescent="0.25">
      <c r="A32" s="42">
        <v>42068</v>
      </c>
      <c r="B32" s="41">
        <v>5</v>
      </c>
    </row>
    <row r="33" spans="1:2" x14ac:dyDescent="0.25">
      <c r="A33" s="42">
        <v>42081</v>
      </c>
      <c r="B33" s="41">
        <v>9</v>
      </c>
    </row>
    <row r="34" spans="1:2" x14ac:dyDescent="0.25">
      <c r="A34" s="42">
        <v>42094</v>
      </c>
      <c r="B34" s="41">
        <v>18</v>
      </c>
    </row>
    <row r="35" spans="1:2" x14ac:dyDescent="0.25">
      <c r="A35" s="42">
        <v>42109</v>
      </c>
      <c r="B35" s="41">
        <v>5</v>
      </c>
    </row>
    <row r="36" spans="1:2" x14ac:dyDescent="0.25">
      <c r="A36" s="42">
        <v>42123</v>
      </c>
      <c r="B36" s="41">
        <v>3</v>
      </c>
    </row>
    <row r="37" spans="1:2" x14ac:dyDescent="0.25">
      <c r="A37" s="42">
        <v>42137</v>
      </c>
      <c r="B37" s="41">
        <v>3</v>
      </c>
    </row>
    <row r="38" spans="1:2" x14ac:dyDescent="0.25">
      <c r="A38" s="42">
        <v>42151</v>
      </c>
      <c r="B38" s="41">
        <v>8</v>
      </c>
    </row>
    <row r="39" spans="1:2" x14ac:dyDescent="0.25">
      <c r="A39" s="42">
        <v>42165</v>
      </c>
      <c r="B39" s="41">
        <v>2</v>
      </c>
    </row>
    <row r="40" spans="1:2" x14ac:dyDescent="0.25">
      <c r="A40" s="42">
        <v>42179</v>
      </c>
      <c r="B40" s="41">
        <v>71</v>
      </c>
    </row>
    <row r="41" spans="1:2" x14ac:dyDescent="0.25">
      <c r="A41" s="42">
        <v>42193</v>
      </c>
      <c r="B41" s="41">
        <v>2</v>
      </c>
    </row>
    <row r="42" spans="1:2" x14ac:dyDescent="0.25">
      <c r="A42" s="42">
        <v>42207</v>
      </c>
      <c r="B42" s="41">
        <v>22</v>
      </c>
    </row>
    <row r="43" spans="1:2" x14ac:dyDescent="0.25">
      <c r="A43" s="42">
        <v>42221</v>
      </c>
      <c r="B43" s="41">
        <v>13</v>
      </c>
    </row>
    <row r="44" spans="1:2" x14ac:dyDescent="0.25">
      <c r="A44" s="42">
        <v>42235</v>
      </c>
      <c r="B44" s="41">
        <v>4</v>
      </c>
    </row>
    <row r="45" spans="1:2" x14ac:dyDescent="0.25">
      <c r="A45" s="42">
        <v>42249</v>
      </c>
      <c r="B45" s="41">
        <v>6</v>
      </c>
    </row>
    <row r="46" spans="1:2" x14ac:dyDescent="0.25">
      <c r="A46" s="42">
        <v>42263</v>
      </c>
      <c r="B46" s="41">
        <v>12</v>
      </c>
    </row>
    <row r="47" spans="1:2" x14ac:dyDescent="0.25">
      <c r="A47" s="42">
        <v>42277</v>
      </c>
      <c r="B47" s="41">
        <v>21</v>
      </c>
    </row>
    <row r="48" spans="1:2" x14ac:dyDescent="0.25">
      <c r="A48" s="42">
        <v>42291</v>
      </c>
      <c r="B48" s="41">
        <v>5</v>
      </c>
    </row>
    <row r="49" spans="1:2" x14ac:dyDescent="0.25">
      <c r="A49" s="42">
        <v>42305</v>
      </c>
      <c r="B49" s="41">
        <v>26</v>
      </c>
    </row>
    <row r="50" spans="1:2" x14ac:dyDescent="0.25">
      <c r="A50" s="42">
        <v>42319</v>
      </c>
      <c r="B50" s="41">
        <v>15</v>
      </c>
    </row>
    <row r="51" spans="1:2" x14ac:dyDescent="0.25">
      <c r="A51" s="42">
        <v>42333</v>
      </c>
      <c r="B51" s="41">
        <v>35</v>
      </c>
    </row>
    <row r="52" spans="1:2" x14ac:dyDescent="0.25">
      <c r="A52" s="42">
        <v>42347</v>
      </c>
      <c r="B52" s="41">
        <v>3800</v>
      </c>
    </row>
    <row r="53" spans="1:2" x14ac:dyDescent="0.25">
      <c r="A53" s="42">
        <v>42360</v>
      </c>
      <c r="B53" s="41">
        <v>40</v>
      </c>
    </row>
    <row r="54" spans="1:2" x14ac:dyDescent="0.25">
      <c r="A54" s="42">
        <v>42375</v>
      </c>
      <c r="B54" s="41">
        <v>64</v>
      </c>
    </row>
    <row r="55" spans="1:2" x14ac:dyDescent="0.25">
      <c r="A55" s="42">
        <v>42389</v>
      </c>
      <c r="B55" s="41">
        <v>1</v>
      </c>
    </row>
    <row r="56" spans="1:2" x14ac:dyDescent="0.25">
      <c r="A56" s="42">
        <v>42403</v>
      </c>
      <c r="B56" s="41">
        <v>19</v>
      </c>
    </row>
    <row r="57" spans="1:2" x14ac:dyDescent="0.25">
      <c r="A57" s="42">
        <v>42417</v>
      </c>
      <c r="B57" s="41">
        <v>9</v>
      </c>
    </row>
    <row r="58" spans="1:2" x14ac:dyDescent="0.25">
      <c r="A58" s="42">
        <v>42431</v>
      </c>
      <c r="B58" s="41">
        <v>19</v>
      </c>
    </row>
    <row r="59" spans="1:2" x14ac:dyDescent="0.25">
      <c r="A59" s="42">
        <v>42445</v>
      </c>
      <c r="B59" s="41">
        <v>1</v>
      </c>
    </row>
    <row r="60" spans="1:2" x14ac:dyDescent="0.25">
      <c r="A60" s="42">
        <v>42459</v>
      </c>
      <c r="B60" s="41">
        <v>36</v>
      </c>
    </row>
    <row r="61" spans="1:2" x14ac:dyDescent="0.25">
      <c r="A61" s="42">
        <v>42473</v>
      </c>
      <c r="B61" s="41">
        <v>5</v>
      </c>
    </row>
    <row r="62" spans="1:2" x14ac:dyDescent="0.25">
      <c r="A62" s="42">
        <v>42486</v>
      </c>
      <c r="B62" s="41">
        <v>18</v>
      </c>
    </row>
    <row r="63" spans="1:2" x14ac:dyDescent="0.25">
      <c r="A63" s="42">
        <v>42501</v>
      </c>
      <c r="B63" s="41">
        <v>8</v>
      </c>
    </row>
    <row r="64" spans="1:2" x14ac:dyDescent="0.25">
      <c r="A64" s="42">
        <v>42515</v>
      </c>
      <c r="B64" s="41">
        <v>22</v>
      </c>
    </row>
    <row r="65" spans="1:2" x14ac:dyDescent="0.25">
      <c r="A65" s="42">
        <v>42529</v>
      </c>
      <c r="B65" s="41">
        <v>16</v>
      </c>
    </row>
    <row r="66" spans="1:2" x14ac:dyDescent="0.25">
      <c r="A66" s="42">
        <v>42543</v>
      </c>
      <c r="B66" s="41">
        <v>64</v>
      </c>
    </row>
    <row r="67" spans="1:2" x14ac:dyDescent="0.25">
      <c r="A67" s="42">
        <v>42557</v>
      </c>
      <c r="B67" s="41">
        <v>23</v>
      </c>
    </row>
    <row r="68" spans="1:2" x14ac:dyDescent="0.25">
      <c r="A68" s="42">
        <v>42571</v>
      </c>
      <c r="B68" s="41">
        <v>10</v>
      </c>
    </row>
    <row r="69" spans="1:2" x14ac:dyDescent="0.25">
      <c r="A69" s="42">
        <v>42592</v>
      </c>
      <c r="B69" s="41">
        <v>2</v>
      </c>
    </row>
    <row r="70" spans="1:2" x14ac:dyDescent="0.25">
      <c r="A70" s="42">
        <v>42599</v>
      </c>
      <c r="B70" s="41">
        <v>2</v>
      </c>
    </row>
    <row r="71" spans="1:2" x14ac:dyDescent="0.25">
      <c r="A71" s="42">
        <v>42613</v>
      </c>
      <c r="B71" s="41">
        <v>18</v>
      </c>
    </row>
    <row r="72" spans="1:2" x14ac:dyDescent="0.25">
      <c r="A72" s="42">
        <v>42627</v>
      </c>
      <c r="B72" s="41">
        <v>3</v>
      </c>
    </row>
    <row r="73" spans="1:2" x14ac:dyDescent="0.25">
      <c r="A73" s="42">
        <v>42641</v>
      </c>
      <c r="B73" s="41">
        <v>11</v>
      </c>
    </row>
    <row r="74" spans="1:2" x14ac:dyDescent="0.25">
      <c r="A74" s="42">
        <v>42655</v>
      </c>
      <c r="B74" s="41">
        <v>300</v>
      </c>
    </row>
    <row r="75" spans="1:2" x14ac:dyDescent="0.25">
      <c r="A75" s="42">
        <v>42669</v>
      </c>
      <c r="B75" s="41">
        <v>3</v>
      </c>
    </row>
    <row r="76" spans="1:2" x14ac:dyDescent="0.25">
      <c r="A76" s="42">
        <v>42683</v>
      </c>
      <c r="B76" s="41">
        <v>4</v>
      </c>
    </row>
    <row r="77" spans="1:2" x14ac:dyDescent="0.25">
      <c r="A77" s="42">
        <v>42697</v>
      </c>
      <c r="B77" s="41">
        <v>36</v>
      </c>
    </row>
    <row r="78" spans="1:2" x14ac:dyDescent="0.25">
      <c r="A78" s="42">
        <v>42711</v>
      </c>
      <c r="B78" s="41">
        <v>2</v>
      </c>
    </row>
    <row r="79" spans="1:2" x14ac:dyDescent="0.25">
      <c r="A79" s="42">
        <v>42725</v>
      </c>
      <c r="B79" s="41">
        <v>15</v>
      </c>
    </row>
    <row r="80" spans="1:2" x14ac:dyDescent="0.25">
      <c r="A80" s="42">
        <v>42740</v>
      </c>
      <c r="B80" s="41">
        <v>46</v>
      </c>
    </row>
    <row r="81" spans="1:2" x14ac:dyDescent="0.25">
      <c r="A81" s="42">
        <v>42753</v>
      </c>
      <c r="B81" s="41">
        <v>12</v>
      </c>
    </row>
    <row r="82" spans="1:2" x14ac:dyDescent="0.25">
      <c r="A82" s="42">
        <v>42767</v>
      </c>
      <c r="B82" s="41">
        <v>15</v>
      </c>
    </row>
    <row r="83" spans="1:2" x14ac:dyDescent="0.25">
      <c r="A83" s="42">
        <v>42781</v>
      </c>
      <c r="B83" s="41">
        <v>13</v>
      </c>
    </row>
    <row r="84" spans="1:2" x14ac:dyDescent="0.25">
      <c r="A84" s="42">
        <v>42795</v>
      </c>
      <c r="B84" s="41">
        <v>34</v>
      </c>
    </row>
    <row r="85" spans="1:2" x14ac:dyDescent="0.25">
      <c r="A85" s="42">
        <v>42809</v>
      </c>
      <c r="B85" s="41">
        <v>11</v>
      </c>
    </row>
    <row r="86" spans="1:2" x14ac:dyDescent="0.25">
      <c r="A86" s="42">
        <v>42823</v>
      </c>
      <c r="B86" s="41">
        <v>35</v>
      </c>
    </row>
    <row r="87" spans="1:2" x14ac:dyDescent="0.25">
      <c r="A87" s="42">
        <v>42836</v>
      </c>
      <c r="B87" s="41">
        <v>21</v>
      </c>
    </row>
    <row r="88" spans="1:2" x14ac:dyDescent="0.25">
      <c r="A88" s="42">
        <v>42851</v>
      </c>
      <c r="B88" s="41">
        <v>22</v>
      </c>
    </row>
    <row r="89" spans="1:2" x14ac:dyDescent="0.25">
      <c r="A89" s="42">
        <v>42865</v>
      </c>
      <c r="B89" s="41">
        <v>3</v>
      </c>
    </row>
    <row r="90" spans="1:2" x14ac:dyDescent="0.25">
      <c r="A90" s="42">
        <v>42879</v>
      </c>
      <c r="B90" s="41">
        <v>38</v>
      </c>
    </row>
    <row r="91" spans="1:2" x14ac:dyDescent="0.25">
      <c r="A91" s="42">
        <v>42894</v>
      </c>
      <c r="B91" s="41">
        <v>2550</v>
      </c>
    </row>
    <row r="92" spans="1:2" x14ac:dyDescent="0.25">
      <c r="A92" s="42">
        <v>42907</v>
      </c>
      <c r="B92" s="41">
        <v>14</v>
      </c>
    </row>
    <row r="93" spans="1:2" x14ac:dyDescent="0.25">
      <c r="A93" s="42">
        <v>42921</v>
      </c>
      <c r="B93" s="41">
        <v>15</v>
      </c>
    </row>
    <row r="94" spans="1:2" x14ac:dyDescent="0.25">
      <c r="A94" s="42">
        <v>42935</v>
      </c>
      <c r="B94" s="41">
        <v>1</v>
      </c>
    </row>
    <row r="95" spans="1:2" x14ac:dyDescent="0.25">
      <c r="A95" s="42">
        <v>42949</v>
      </c>
      <c r="B95" s="41">
        <v>7</v>
      </c>
    </row>
    <row r="96" spans="1:2" x14ac:dyDescent="0.25">
      <c r="A96" s="42">
        <v>42963</v>
      </c>
      <c r="B96" s="41">
        <v>14</v>
      </c>
    </row>
    <row r="97" spans="1:2" x14ac:dyDescent="0.25">
      <c r="A97" s="42">
        <v>42977</v>
      </c>
      <c r="B97" s="41">
        <v>0.33333333300000001</v>
      </c>
    </row>
    <row r="98" spans="1:2" x14ac:dyDescent="0.25">
      <c r="A98" s="42">
        <v>42991</v>
      </c>
      <c r="B98" s="41">
        <v>8</v>
      </c>
    </row>
    <row r="99" spans="1:2" x14ac:dyDescent="0.25">
      <c r="A99" s="42">
        <v>43005</v>
      </c>
      <c r="B99" s="41">
        <v>1</v>
      </c>
    </row>
    <row r="100" spans="1:2" x14ac:dyDescent="0.25">
      <c r="A100" s="42">
        <v>43019</v>
      </c>
      <c r="B100" s="41">
        <v>5</v>
      </c>
    </row>
    <row r="101" spans="1:2" x14ac:dyDescent="0.25">
      <c r="A101" s="42">
        <v>43033</v>
      </c>
      <c r="B101" s="41">
        <v>35</v>
      </c>
    </row>
    <row r="102" spans="1:2" x14ac:dyDescent="0.25">
      <c r="A102" s="42">
        <v>43047</v>
      </c>
      <c r="B102" s="41">
        <v>8</v>
      </c>
    </row>
    <row r="103" spans="1:2" x14ac:dyDescent="0.25">
      <c r="A103" s="42">
        <v>43061</v>
      </c>
      <c r="B103" s="41">
        <v>28</v>
      </c>
    </row>
    <row r="104" spans="1:2" x14ac:dyDescent="0.25">
      <c r="A104" s="42">
        <v>43075</v>
      </c>
      <c r="B104" s="41">
        <v>21</v>
      </c>
    </row>
    <row r="105" spans="1:2" x14ac:dyDescent="0.25">
      <c r="A105" s="42">
        <v>43089</v>
      </c>
      <c r="B105" s="41">
        <v>13</v>
      </c>
    </row>
    <row r="106" spans="1:2" x14ac:dyDescent="0.25">
      <c r="A106" s="42">
        <v>43103</v>
      </c>
      <c r="B106" s="41">
        <v>82</v>
      </c>
    </row>
    <row r="107" spans="1:2" x14ac:dyDescent="0.25">
      <c r="A107" s="42">
        <v>43117</v>
      </c>
      <c r="B107" s="41">
        <v>22</v>
      </c>
    </row>
    <row r="108" spans="1:2" x14ac:dyDescent="0.25">
      <c r="A108" s="42">
        <v>43131</v>
      </c>
      <c r="B108" s="41">
        <v>9</v>
      </c>
    </row>
    <row r="109" spans="1:2" x14ac:dyDescent="0.25">
      <c r="A109" s="42">
        <v>43145</v>
      </c>
      <c r="B109" s="41">
        <v>24</v>
      </c>
    </row>
    <row r="110" spans="1:2" x14ac:dyDescent="0.25">
      <c r="A110" s="42">
        <v>43159</v>
      </c>
      <c r="B110" s="41">
        <v>4400</v>
      </c>
    </row>
    <row r="111" spans="1:2" x14ac:dyDescent="0.25">
      <c r="A111" s="42">
        <v>43173</v>
      </c>
      <c r="B111" s="41">
        <v>38</v>
      </c>
    </row>
    <row r="112" spans="1:2" x14ac:dyDescent="0.25">
      <c r="A112" s="42">
        <v>43186</v>
      </c>
      <c r="B112" s="41">
        <v>2</v>
      </c>
    </row>
    <row r="113" spans="1:2" x14ac:dyDescent="0.25">
      <c r="A113" s="42">
        <v>43201</v>
      </c>
      <c r="B113" s="41">
        <v>14</v>
      </c>
    </row>
    <row r="114" spans="1:2" x14ac:dyDescent="0.25">
      <c r="A114" s="42">
        <v>43215</v>
      </c>
      <c r="B114" s="41">
        <v>7</v>
      </c>
    </row>
    <row r="115" spans="1:2" x14ac:dyDescent="0.25">
      <c r="A115" s="42">
        <v>43229</v>
      </c>
      <c r="B115" s="41">
        <v>10</v>
      </c>
    </row>
    <row r="116" spans="1:2" x14ac:dyDescent="0.25">
      <c r="A116" s="42">
        <v>43243</v>
      </c>
      <c r="B116" s="41">
        <v>36</v>
      </c>
    </row>
    <row r="117" spans="1:2" x14ac:dyDescent="0.25">
      <c r="A117" s="42">
        <v>43257</v>
      </c>
      <c r="B117" s="41">
        <v>2</v>
      </c>
    </row>
    <row r="118" spans="1:2" x14ac:dyDescent="0.25">
      <c r="A118" s="42">
        <v>43271</v>
      </c>
      <c r="B118" s="41">
        <v>15</v>
      </c>
    </row>
    <row r="119" spans="1:2" x14ac:dyDescent="0.25">
      <c r="A119" s="42">
        <v>43285</v>
      </c>
      <c r="B119" s="41">
        <v>1</v>
      </c>
    </row>
    <row r="120" spans="1:2" x14ac:dyDescent="0.25">
      <c r="A120" s="42">
        <v>43299</v>
      </c>
      <c r="B120" s="41">
        <v>3</v>
      </c>
    </row>
    <row r="121" spans="1:2" x14ac:dyDescent="0.25">
      <c r="A121" s="42">
        <v>43313</v>
      </c>
      <c r="B121" s="41">
        <v>22</v>
      </c>
    </row>
    <row r="122" spans="1:2" x14ac:dyDescent="0.25">
      <c r="A122" s="42">
        <v>43327</v>
      </c>
      <c r="B122" s="41">
        <v>29</v>
      </c>
    </row>
    <row r="123" spans="1:2" x14ac:dyDescent="0.25">
      <c r="A123" s="42">
        <v>43341</v>
      </c>
      <c r="B123" s="41">
        <v>18</v>
      </c>
    </row>
    <row r="124" spans="1:2" x14ac:dyDescent="0.25">
      <c r="A124" s="42">
        <v>43355</v>
      </c>
      <c r="B124" s="41">
        <v>36</v>
      </c>
    </row>
    <row r="125" spans="1:2" x14ac:dyDescent="0.25">
      <c r="A125" s="42">
        <v>43369</v>
      </c>
      <c r="B125" s="41">
        <v>34</v>
      </c>
    </row>
    <row r="126" spans="1:2" x14ac:dyDescent="0.25">
      <c r="A126" s="42">
        <v>43383</v>
      </c>
      <c r="B126" s="41">
        <v>5</v>
      </c>
    </row>
    <row r="127" spans="1:2" x14ac:dyDescent="0.25">
      <c r="A127" s="42">
        <v>43397.422222222223</v>
      </c>
      <c r="B127" s="41">
        <v>0.33333333300000001</v>
      </c>
    </row>
    <row r="128" spans="1:2" x14ac:dyDescent="0.25">
      <c r="A128" s="42">
        <v>43411.482638888891</v>
      </c>
      <c r="B128" s="41">
        <v>5</v>
      </c>
    </row>
    <row r="129" spans="1:2" x14ac:dyDescent="0.25">
      <c r="A129" s="42">
        <v>43425.495138888888</v>
      </c>
      <c r="B129" s="41">
        <v>2</v>
      </c>
    </row>
    <row r="130" spans="1:2" x14ac:dyDescent="0.25">
      <c r="A130" s="42">
        <v>43439</v>
      </c>
      <c r="B130" s="41">
        <v>15</v>
      </c>
    </row>
    <row r="131" spans="1:2" x14ac:dyDescent="0.25">
      <c r="A131" s="42">
        <v>43453</v>
      </c>
      <c r="B131" s="41">
        <v>550</v>
      </c>
    </row>
    <row r="132" spans="1:2" x14ac:dyDescent="0.25">
      <c r="A132" s="42">
        <v>43481.488194444442</v>
      </c>
      <c r="B132" s="41">
        <v>10</v>
      </c>
    </row>
    <row r="133" spans="1:2" x14ac:dyDescent="0.25">
      <c r="A133" s="42">
        <v>43495</v>
      </c>
      <c r="B133" s="41">
        <v>14</v>
      </c>
    </row>
    <row r="134" spans="1:2" x14ac:dyDescent="0.25">
      <c r="A134" s="42">
        <v>43509.515972222223</v>
      </c>
      <c r="B134" s="41">
        <v>0.33333333300000001</v>
      </c>
    </row>
    <row r="135" spans="1:2" x14ac:dyDescent="0.25">
      <c r="A135" s="42">
        <v>43523.511111111111</v>
      </c>
      <c r="B135" s="41">
        <v>2</v>
      </c>
    </row>
    <row r="136" spans="1:2" x14ac:dyDescent="0.25">
      <c r="A136" s="42">
        <v>43537</v>
      </c>
      <c r="B136" s="41">
        <v>3</v>
      </c>
    </row>
    <row r="137" spans="1:2" x14ac:dyDescent="0.25">
      <c r="A137" s="42">
        <v>43551</v>
      </c>
      <c r="B137" s="41">
        <v>7</v>
      </c>
    </row>
    <row r="138" spans="1:2" x14ac:dyDescent="0.25">
      <c r="A138" s="42">
        <v>43565</v>
      </c>
      <c r="B138" s="41">
        <v>14</v>
      </c>
    </row>
    <row r="139" spans="1:2" x14ac:dyDescent="0.25">
      <c r="A139" s="42">
        <v>43579</v>
      </c>
      <c r="B139" s="41">
        <v>14</v>
      </c>
    </row>
    <row r="140" spans="1:2" x14ac:dyDescent="0.25">
      <c r="A140" s="42">
        <v>43592</v>
      </c>
      <c r="B140" s="44">
        <v>13</v>
      </c>
    </row>
    <row r="141" spans="1:2" x14ac:dyDescent="0.25">
      <c r="A141" s="42">
        <v>43607</v>
      </c>
      <c r="B141" s="44">
        <v>11</v>
      </c>
    </row>
    <row r="142" spans="1:2" x14ac:dyDescent="0.25">
      <c r="A142" s="42">
        <v>43621</v>
      </c>
      <c r="B142" s="44">
        <v>450</v>
      </c>
    </row>
    <row r="143" spans="1:2" x14ac:dyDescent="0.25">
      <c r="A143" s="42">
        <v>43635</v>
      </c>
      <c r="B143" s="44">
        <v>1</v>
      </c>
    </row>
    <row r="144" spans="1:2" x14ac:dyDescent="0.25">
      <c r="A144" s="42">
        <v>43650</v>
      </c>
      <c r="B144" s="44">
        <v>44</v>
      </c>
    </row>
    <row r="145" spans="1:2" x14ac:dyDescent="0.25">
      <c r="A145" s="42">
        <v>43663</v>
      </c>
      <c r="B145" s="44">
        <v>10</v>
      </c>
    </row>
    <row r="146" spans="1:2" x14ac:dyDescent="0.25">
      <c r="A146" s="42">
        <v>43677</v>
      </c>
      <c r="B146" s="44">
        <v>84</v>
      </c>
    </row>
    <row r="147" spans="1:2" x14ac:dyDescent="0.25">
      <c r="A147" s="42">
        <v>43691</v>
      </c>
      <c r="B147" s="44">
        <v>9</v>
      </c>
    </row>
    <row r="148" spans="1:2" x14ac:dyDescent="0.25">
      <c r="A148" s="42">
        <v>43705</v>
      </c>
      <c r="B148" s="44">
        <v>14</v>
      </c>
    </row>
    <row r="149" spans="1:2" x14ac:dyDescent="0.25">
      <c r="A149" s="42">
        <v>43747</v>
      </c>
      <c r="B149" s="44">
        <v>4</v>
      </c>
    </row>
    <row r="150" spans="1:2" x14ac:dyDescent="0.25">
      <c r="A150" s="42">
        <v>43761</v>
      </c>
      <c r="B150" s="44">
        <v>58</v>
      </c>
    </row>
    <row r="151" spans="1:2" x14ac:dyDescent="0.25">
      <c r="A151" s="42">
        <v>43775</v>
      </c>
      <c r="B151" s="41">
        <v>0.33333333300000001</v>
      </c>
    </row>
    <row r="152" spans="1:2" x14ac:dyDescent="0.25">
      <c r="A152" s="42">
        <v>43789</v>
      </c>
      <c r="B152" s="44">
        <v>1</v>
      </c>
    </row>
    <row r="153" spans="1:2" x14ac:dyDescent="0.25">
      <c r="A153" s="51">
        <v>43804</v>
      </c>
      <c r="B153" s="44">
        <v>39</v>
      </c>
    </row>
    <row r="154" spans="1:2" x14ac:dyDescent="0.25">
      <c r="A154" s="51">
        <v>43817</v>
      </c>
      <c r="B154" s="44">
        <v>63</v>
      </c>
    </row>
    <row r="155" spans="1:2" x14ac:dyDescent="0.25">
      <c r="A155" s="51">
        <v>43832</v>
      </c>
      <c r="B155" s="44">
        <v>6</v>
      </c>
    </row>
    <row r="156" spans="1:2" x14ac:dyDescent="0.25">
      <c r="A156" s="51">
        <v>43845</v>
      </c>
      <c r="B156" s="44">
        <v>8</v>
      </c>
    </row>
    <row r="157" spans="1:2" x14ac:dyDescent="0.25">
      <c r="A157" s="51">
        <v>43859</v>
      </c>
      <c r="B157" s="44">
        <v>8</v>
      </c>
    </row>
    <row r="158" spans="1:2" x14ac:dyDescent="0.25">
      <c r="A158" s="51">
        <v>43873</v>
      </c>
      <c r="B158" s="44">
        <v>16</v>
      </c>
    </row>
    <row r="159" spans="1:2" x14ac:dyDescent="0.25">
      <c r="A159" s="51">
        <v>43887</v>
      </c>
      <c r="B159" s="44">
        <v>5</v>
      </c>
    </row>
    <row r="160" spans="1:2" x14ac:dyDescent="0.25">
      <c r="A160" s="51">
        <v>43901</v>
      </c>
      <c r="B160" s="44">
        <v>57</v>
      </c>
    </row>
    <row r="161" spans="1:2" x14ac:dyDescent="0.25">
      <c r="A161" s="51">
        <v>44069</v>
      </c>
      <c r="B161" s="44">
        <v>600</v>
      </c>
    </row>
    <row r="162" spans="1:2" x14ac:dyDescent="0.25">
      <c r="A162" s="51">
        <v>44111</v>
      </c>
      <c r="B162" s="44">
        <v>0.12493873660829993</v>
      </c>
    </row>
    <row r="163" spans="1:2" x14ac:dyDescent="0.25">
      <c r="A163" s="51">
        <v>44124</v>
      </c>
      <c r="B163" s="44">
        <v>4</v>
      </c>
    </row>
    <row r="164" spans="1:2" x14ac:dyDescent="0.25">
      <c r="A164" s="51">
        <v>44139</v>
      </c>
      <c r="B164" s="44">
        <v>16</v>
      </c>
    </row>
    <row r="165" spans="1:2" x14ac:dyDescent="0.25">
      <c r="A165" s="51">
        <v>44153</v>
      </c>
      <c r="B165" s="44">
        <v>8</v>
      </c>
    </row>
    <row r="166" spans="1:2" x14ac:dyDescent="0.25">
      <c r="A166" s="51">
        <v>44167</v>
      </c>
      <c r="B166" s="44">
        <v>2</v>
      </c>
    </row>
    <row r="167" spans="1:2" x14ac:dyDescent="0.25">
      <c r="A167" s="51">
        <v>44180</v>
      </c>
      <c r="B167" s="44">
        <f>100*3</f>
        <v>300</v>
      </c>
    </row>
    <row r="168" spans="1:2" x14ac:dyDescent="0.25">
      <c r="A168" s="51">
        <v>44237</v>
      </c>
      <c r="B168" s="44">
        <f>1/3</f>
        <v>0.33333333333333331</v>
      </c>
    </row>
    <row r="169" spans="1:2" x14ac:dyDescent="0.25">
      <c r="A169" s="51">
        <v>44266</v>
      </c>
      <c r="B169" s="44">
        <v>8</v>
      </c>
    </row>
    <row r="170" spans="1:2" x14ac:dyDescent="0.25">
      <c r="A170" s="51">
        <v>44293</v>
      </c>
      <c r="B170" s="44">
        <v>18</v>
      </c>
    </row>
    <row r="171" spans="1:2" x14ac:dyDescent="0.25">
      <c r="A171" s="51">
        <v>44307</v>
      </c>
      <c r="B171" s="44">
        <f>1/3</f>
        <v>0.33333333333333331</v>
      </c>
    </row>
    <row r="172" spans="1:2" x14ac:dyDescent="0.25">
      <c r="A172" s="51">
        <v>44321</v>
      </c>
      <c r="B172" s="44">
        <v>4</v>
      </c>
    </row>
    <row r="173" spans="1:2" x14ac:dyDescent="0.25">
      <c r="A173" s="51">
        <v>44349</v>
      </c>
      <c r="B173" s="44">
        <v>17</v>
      </c>
    </row>
    <row r="174" spans="1:2" x14ac:dyDescent="0.25">
      <c r="A174" s="51">
        <v>44405</v>
      </c>
      <c r="B174" s="44">
        <v>11</v>
      </c>
    </row>
    <row r="175" spans="1:2" x14ac:dyDescent="0.25">
      <c r="A175" s="51">
        <v>44433</v>
      </c>
      <c r="B175" s="44">
        <v>21</v>
      </c>
    </row>
    <row r="176" spans="1:2" x14ac:dyDescent="0.25">
      <c r="A176" s="51">
        <v>44447</v>
      </c>
      <c r="B176" s="44">
        <v>24</v>
      </c>
    </row>
    <row r="177" spans="1:2" x14ac:dyDescent="0.25">
      <c r="A177" s="51">
        <v>44461</v>
      </c>
      <c r="B177" s="44">
        <v>2</v>
      </c>
    </row>
    <row r="178" spans="1:2" x14ac:dyDescent="0.25">
      <c r="A178" s="51">
        <v>44475</v>
      </c>
      <c r="B178" s="44">
        <v>66</v>
      </c>
    </row>
    <row r="179" spans="1:2" x14ac:dyDescent="0.25">
      <c r="A179" s="51">
        <v>44517</v>
      </c>
      <c r="B179" s="44">
        <v>30</v>
      </c>
    </row>
    <row r="180" spans="1:2" x14ac:dyDescent="0.25">
      <c r="A180" s="51">
        <v>44588</v>
      </c>
      <c r="B180" s="44">
        <f>10/3</f>
        <v>3.3333333333333335</v>
      </c>
    </row>
    <row r="181" spans="1:2" x14ac:dyDescent="0.25">
      <c r="A181" s="51">
        <v>44602</v>
      </c>
      <c r="B181" s="44">
        <f>10/3</f>
        <v>3.3333333333333335</v>
      </c>
    </row>
    <row r="182" spans="1:2" x14ac:dyDescent="0.25">
      <c r="A182" s="51">
        <v>44938</v>
      </c>
      <c r="B182" s="44">
        <v>1300</v>
      </c>
    </row>
    <row r="183" spans="1:2" x14ac:dyDescent="0.25">
      <c r="A183" s="51">
        <v>45218</v>
      </c>
      <c r="B183" s="44">
        <f>1/3</f>
        <v>0.33333333333333331</v>
      </c>
    </row>
    <row r="184" spans="1:2" x14ac:dyDescent="0.25">
      <c r="A184" s="51">
        <v>45246</v>
      </c>
      <c r="B184" s="44">
        <v>10</v>
      </c>
    </row>
    <row r="185" spans="1:2" x14ac:dyDescent="0.25">
      <c r="A185" s="51">
        <v>45274</v>
      </c>
      <c r="B185" s="44">
        <f>1/3</f>
        <v>0.33333333333333331</v>
      </c>
    </row>
    <row r="186" spans="1:2" x14ac:dyDescent="0.25">
      <c r="A186" s="51">
        <v>45302</v>
      </c>
      <c r="B186" s="44">
        <f>1/3</f>
        <v>0.33333333333333331</v>
      </c>
    </row>
    <row r="187" spans="1:2" x14ac:dyDescent="0.25">
      <c r="A187" s="51">
        <v>45330</v>
      </c>
      <c r="B187" s="44">
        <f>1/3</f>
        <v>0.33333333333333331</v>
      </c>
    </row>
    <row r="188" spans="1:2" x14ac:dyDescent="0.25">
      <c r="A188" s="51">
        <v>45358</v>
      </c>
      <c r="B188" s="44">
        <v>10</v>
      </c>
    </row>
    <row r="189" spans="1:2" x14ac:dyDescent="0.25">
      <c r="A189" s="51">
        <v>45400</v>
      </c>
      <c r="B189" s="44">
        <f>1/3</f>
        <v>0.33333333333333331</v>
      </c>
    </row>
    <row r="190" spans="1:2" x14ac:dyDescent="0.25">
      <c r="A190" s="51">
        <v>45414</v>
      </c>
      <c r="B190" s="44">
        <v>5</v>
      </c>
    </row>
    <row r="191" spans="1:2" x14ac:dyDescent="0.25">
      <c r="A191" s="51">
        <v>45456</v>
      </c>
      <c r="B191" s="44">
        <f>1/3</f>
        <v>0.33333333333333331</v>
      </c>
    </row>
    <row r="192" spans="1:2" x14ac:dyDescent="0.25">
      <c r="A192" s="51">
        <v>45526</v>
      </c>
      <c r="B192" s="44">
        <v>51</v>
      </c>
    </row>
    <row r="193" spans="1:2" x14ac:dyDescent="0.25">
      <c r="A193" s="51">
        <v>45540</v>
      </c>
      <c r="B193" s="44">
        <f>10/3</f>
        <v>3.3333333333333335</v>
      </c>
    </row>
    <row r="194" spans="1:2" x14ac:dyDescent="0.25">
      <c r="A194" s="51">
        <v>45554</v>
      </c>
      <c r="B194" s="44">
        <v>10</v>
      </c>
    </row>
    <row r="195" spans="1:2" x14ac:dyDescent="0.25">
      <c r="A195" s="51">
        <v>45617</v>
      </c>
      <c r="B195" s="44">
        <v>2</v>
      </c>
    </row>
    <row r="196" spans="1:2" x14ac:dyDescent="0.25">
      <c r="A196" s="51">
        <v>45631</v>
      </c>
      <c r="B196" s="44">
        <v>33</v>
      </c>
    </row>
    <row r="197" spans="1:2" x14ac:dyDescent="0.25">
      <c r="A197" s="51">
        <v>45645</v>
      </c>
      <c r="B197" s="44">
        <v>42</v>
      </c>
    </row>
    <row r="198" spans="1:2" x14ac:dyDescent="0.25">
      <c r="A198" s="51">
        <v>45660</v>
      </c>
      <c r="B198" s="44">
        <v>162</v>
      </c>
    </row>
    <row r="199" spans="1:2" x14ac:dyDescent="0.25">
      <c r="A199" s="51">
        <v>45673</v>
      </c>
      <c r="B199" s="44">
        <v>34</v>
      </c>
    </row>
    <row r="200" spans="1:2" x14ac:dyDescent="0.25">
      <c r="A200" s="51">
        <v>45687</v>
      </c>
      <c r="B200" s="44">
        <v>98</v>
      </c>
    </row>
    <row r="201" spans="1:2" x14ac:dyDescent="0.25">
      <c r="A201" s="51">
        <v>45701</v>
      </c>
      <c r="B201" s="44">
        <v>28</v>
      </c>
    </row>
    <row r="202" spans="1:2" x14ac:dyDescent="0.25">
      <c r="A202" s="51">
        <v>45715</v>
      </c>
      <c r="B202" s="44">
        <v>22</v>
      </c>
    </row>
    <row r="203" spans="1:2" x14ac:dyDescent="0.25">
      <c r="A203" s="51">
        <v>45728</v>
      </c>
      <c r="B203" s="44">
        <v>52</v>
      </c>
    </row>
  </sheetData>
  <sortState ref="A2:B203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92 B107:B119 B128:B129 B134 B121:B125 B142 B153 B146 B159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4C2FE42-5F0D-4E12-A586-7B1E8508861C}">
  <ds:schemaRefs>
    <ds:schemaRef ds:uri="http://schemas.microsoft.com/office/2006/documentManagement/type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0BBF556-92C7-42B4-95AD-9774BEF537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C774110-E8B0-48FD-8129-5CDE3E3B4E1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cp:lastPrinted>2020-09-18T08:55:38Z</cp:lastPrinted>
  <dcterms:created xsi:type="dcterms:W3CDTF">2020-07-02T09:36:36Z</dcterms:created>
  <dcterms:modified xsi:type="dcterms:W3CDTF">2025-03-25T10:36:38Z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