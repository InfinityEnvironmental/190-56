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coli'!$A$1:$B$696</definedName>
    <definedName name="_xlnm._FilterDatabase" localSheetId="2" hidden="1">'Faecal streptococci'!$A$1:$B$220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0" i="3" l="1"/>
  <c r="B202" i="3"/>
  <c r="B203" i="3"/>
  <c r="B382" i="2" l="1"/>
  <c r="B190" i="3" l="1"/>
  <c r="B189" i="3"/>
  <c r="B201" i="3" l="1"/>
  <c r="B199" i="3" l="1"/>
  <c r="B198" i="3" l="1"/>
  <c r="B195" i="3" l="1"/>
  <c r="B193" i="3" l="1"/>
  <c r="B213" i="2" l="1"/>
  <c r="B192" i="3" l="1"/>
  <c r="B193" i="2" l="1"/>
  <c r="B192" i="2" l="1"/>
  <c r="B188" i="3" l="1"/>
  <c r="B202" i="2" l="1"/>
  <c r="B200" i="2" l="1"/>
  <c r="B190" i="2" l="1"/>
  <c r="B189" i="2" l="1"/>
  <c r="B187" i="2" l="1"/>
  <c r="B183" i="2" l="1"/>
  <c r="B180" i="3" l="1"/>
  <c r="B180" i="2"/>
  <c r="B179" i="3" l="1"/>
  <c r="B168" i="3" l="1"/>
  <c r="B168" i="2"/>
  <c r="B166" i="2" l="1"/>
  <c r="B165" i="3" l="1"/>
  <c r="B165" i="2"/>
  <c r="B164" i="2" l="1"/>
  <c r="B163" i="2" l="1"/>
  <c r="B162" i="3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<sst xmlns="http://schemas.openxmlformats.org/spreadsheetml/2006/main" count="78" uniqueCount="44">
  <si>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</si>
  <si>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</si>
  <si>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</si>
  <si>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</si>
  <si>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</si>
  <si>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</si>
  <si>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</si>
  <si>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</si>
  <si>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</si>
  <si>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</si>
  <si>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</si>
  <si>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</si>
  <si>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</si>
  <si>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</si>
  <si>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</si>
  <si>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</si>
  <si>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</si>
  <si>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Sufficient</t>
  </si>
  <si>
    <t>Poor</t>
  </si>
  <si>
    <t>Excellent</t>
  </si>
  <si>
    <t>Kalk Bay and St James</t>
  </si>
  <si>
    <t>Kalk Bay Tidal Pool Inside</t>
  </si>
  <si>
    <t>503/56</t>
  </si>
  <si>
    <t>84/-</t>
  </si>
  <si>
    <t>46/-</t>
  </si>
  <si>
    <t>74/-</t>
  </si>
  <si>
    <t>360/150</t>
  </si>
  <si>
    <t>430/107</t>
  </si>
  <si>
    <t>1236/137</t>
  </si>
  <si>
    <t>635/350</t>
  </si>
  <si>
    <t>830/95</t>
  </si>
  <si>
    <t>14084/559</t>
  </si>
  <si>
    <t>216/19</t>
  </si>
  <si>
    <t>Not Enough Data</t>
  </si>
  <si>
    <t>40/-</t>
  </si>
  <si>
    <t>7260/4356</t>
  </si>
  <si>
    <t>1/-</t>
  </si>
  <si>
    <t>71/-</t>
  </si>
  <si>
    <t>Good</t>
  </si>
  <si>
    <t>139/-</t>
  </si>
  <si>
    <t>63/-</t>
  </si>
  <si>
    <t>124/-</t>
  </si>
  <si>
    <t>119/-</t>
  </si>
  <si>
    <t>98/-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</si>
</sst>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0D0EC"/>
        <bgColor indexed="64"/>
      </patternFill>
    </fill>
    <fill>
      <patternFill patternType="solid">
        <fgColor rgb="FFE1F2FA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>
      <alignment horizontal="center" vertical="center" wrapText="1"/>
    </xf>
    <xf numFmtId="0" fontId="6" fillId="6" borderId="7" applyProtection="0">
      <alignment horizontal="center" vertical="center" wrapText="1"/>
    </xf>
  </cellStyleXfs>
  <cellXfs count="60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67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67" fontId="0" fillId="0" borderId="0" xfId="0" applyNumberFormat="1" applyFont="1" applyAlignment="1">
      <alignment horizontal="left"/>
    </xf>
    <xf numFmtId="165" fontId="0" fillId="0" borderId="0" xfId="0" applyNumberFormat="1" applyFont="1" applyAlignment="1">
      <alignment horizontal="left"/>
    </xf>
    <xf numFmtId="16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7" fontId="0" fillId="0" borderId="0" xfId="0" applyNumberFormat="1" applyAlignment="1">
      <alignment horizontal="left"/>
    </xf>
    <xf numFmtId="164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 applyAlignment="1"/>
    <xf numFmtId="0" fontId="0" fillId="4" borderId="3" xfId="0" applyFill="1" applyBorder="1" applyProtection="1">
      <protection locked="0"/>
    </xf>
    <xf numFmtId="165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2"/>
    <cellStyle name="Normal" xfId="0" builtinId="0"/>
    <cellStyle name="Normal blue cell" xfId="3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A20" sqref="A20:XFD20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6" t="s">
        <v>21</v>
      </c>
      <c r="D3" s="56"/>
      <c r="E3" s="56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6"/>
      <c r="D4" s="56"/>
      <c r="E4" s="56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7" t="s">
        <v>20</v>
      </c>
      <c r="E6" s="57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7"/>
      <c r="E7" s="57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7"/>
      <c r="E8" s="57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7">
        <v>12</v>
      </c>
      <c r="E9" s="57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8">
        <f ca="1">TODAY()</f>
        <v>45741</v>
      </c>
      <c r="E11" s="58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8">
        <f>MAX(MAX('Escherichia coli'!A:A),MAX('Faecal streptococci'!A:A))</f>
        <v>45825</v>
      </c>
      <c r="E12" s="58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9">
        <f ca="1">YEAR(D11)+(MONTH(D11)&gt;=D9)</f>
        <v>2025</v>
      </c>
      <c r="E13" s="59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8" t="str">
        <f ca="1">CONCATENATE(TEXT(DATE(D13-1,D9,1), "yyyy/mm/dd")," - ",TEXT(D11,"yyyy/mm/dd"))</f>
        <v>2024/12/01 - 2025/03/25</v>
      </c>
      <c r="E14" s="58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8" t="str">
        <f ca="1">CONCATENATE(TEXT(DATE(D13-5,D9,1), "yyyy/mm/dd")," - ",TEXT(D11,"yyyy/mm/dd"))</f>
        <v>2020/12/01 - 2025/03/25</v>
      </c>
      <c r="E15" s="58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19</v>
      </c>
      <c r="E18" s="26" t="s">
        <v>36</v>
      </c>
      <c r="F18" s="22" t="s">
        <v>38</v>
      </c>
      <c r="G18" s="26" t="s">
        <v>41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19</v>
      </c>
      <c r="E19" s="39" t="s">
        <v>40</v>
      </c>
      <c r="F19" s="22" t="s">
        <v>38</v>
      </c>
      <c r="G19" s="39" t="s">
        <v>42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19</v>
      </c>
      <c r="E20" s="39" t="s">
        <v>36</v>
      </c>
      <c r="F20" s="22" t="s">
        <v>19</v>
      </c>
      <c r="G20" s="39" t="s">
        <v>43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19</v>
      </c>
      <c r="E21" s="39" t="s">
        <v>36</v>
      </c>
      <c r="F21" s="22" t="s">
        <v>38</v>
      </c>
      <c r="G21" s="39" t="s">
        <v>39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53">
        <v>2025</v>
      </c>
      <c r="D22" s="7" t="s">
        <v>19</v>
      </c>
      <c r="E22" s="39" t="s">
        <v>36</v>
      </c>
      <c r="F22" s="22" t="s">
        <v>38</v>
      </c>
      <c r="G22" s="39" t="s">
        <v>41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53">
        <v>2024</v>
      </c>
      <c r="D23" s="7" t="s">
        <v>19</v>
      </c>
      <c r="E23" s="39" t="s">
        <v>36</v>
      </c>
      <c r="F23" s="22" t="s">
        <v>19</v>
      </c>
      <c r="G23" s="39" t="s">
        <v>37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20">
        <v>2023</v>
      </c>
      <c r="D24" s="7" t="s">
        <v>18</v>
      </c>
      <c r="E24" s="39" t="s">
        <v>35</v>
      </c>
      <c r="F24" s="22" t="s">
        <v>33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19</v>
      </c>
      <c r="E25" s="39" t="s">
        <v>34</v>
      </c>
      <c r="F25" s="22" t="s">
        <v>33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18</v>
      </c>
      <c r="E26" s="26" t="s">
        <v>31</v>
      </c>
      <c r="F26" s="23" t="s">
        <v>17</v>
      </c>
      <c r="G26" s="26" t="s">
        <v>32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17</v>
      </c>
      <c r="E27" s="7" t="s">
        <v>30</v>
      </c>
      <c r="F27" s="24" t="s">
        <v>17</v>
      </c>
      <c r="G27" s="19">
        <v>2.0089285714285716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17</v>
      </c>
      <c r="E28" s="7" t="s">
        <v>22</v>
      </c>
      <c r="F28" s="24" t="s">
        <v>19</v>
      </c>
      <c r="G28" s="19" t="s">
        <v>23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19</v>
      </c>
      <c r="E29" s="7" t="s">
        <v>24</v>
      </c>
      <c r="F29" s="24" t="s">
        <v>19</v>
      </c>
      <c r="G29" s="19" t="s">
        <v>25</v>
      </c>
      <c r="H29" s="19"/>
      <c r="I29" s="27"/>
      <c r="J29" s="4"/>
    </row>
    <row r="30" spans="1:13" s="3" customFormat="1" x14ac:dyDescent="0.25">
      <c r="A30" s="7"/>
      <c r="B30" s="7"/>
      <c r="C30" s="15">
        <v>2017</v>
      </c>
      <c r="D30" s="22" t="s">
        <v>17</v>
      </c>
      <c r="E30" s="7" t="s">
        <v>26</v>
      </c>
      <c r="F30" s="24" t="s">
        <v>17</v>
      </c>
      <c r="G30" s="19">
        <v>16.803278688524589</v>
      </c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17</v>
      </c>
      <c r="E31" s="7" t="s">
        <v>27</v>
      </c>
      <c r="F31" s="24" t="s">
        <v>18</v>
      </c>
      <c r="G31" s="19">
        <v>2.7419354838709675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17</v>
      </c>
      <c r="E32" s="7" t="s">
        <v>28</v>
      </c>
      <c r="F32" s="24" t="s">
        <v>18</v>
      </c>
      <c r="G32" s="19">
        <v>2.1541501976284585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18</v>
      </c>
      <c r="E33" s="7" t="s">
        <v>29</v>
      </c>
      <c r="F33" s="24" t="s">
        <v>17</v>
      </c>
      <c r="G33" s="19">
        <v>3.4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96"/>
  <sheetViews>
    <sheetView workbookViewId="0">
      <pane ySplit="1" topLeftCell="A674" activePane="bottomLeft" state="frozen"/>
      <selection pane="bottomLeft" activeCell="A709" sqref="A709"/>
    </sheetView>
  </sheetViews>
  <sheetFormatPr defaultRowHeight="15" x14ac:dyDescent="0.25"/>
  <cols>
    <col min="1" max="1" width="38.42578125" style="45" customWidth="1"/>
    <col min="2" max="2" width="12" style="44" bestFit="1" customWidth="1"/>
  </cols>
  <sheetData>
    <row r="1" spans="1:2" s="1" customFormat="1" x14ac:dyDescent="0.25">
      <c r="A1" s="43" t="s">
        <v>0</v>
      </c>
      <c r="B1" s="52" t="s">
        <v>1</v>
      </c>
    </row>
    <row r="2" spans="1:2" s="1" customFormat="1" x14ac:dyDescent="0.25">
      <c r="A2" s="42">
        <v>41647.40625</v>
      </c>
      <c r="B2" s="41">
        <v>350</v>
      </c>
    </row>
    <row r="3" spans="1:2" s="1" customFormat="1" x14ac:dyDescent="0.25">
      <c r="A3" s="42">
        <v>41661.402083333334</v>
      </c>
      <c r="B3" s="41">
        <v>0.66666666699999999</v>
      </c>
    </row>
    <row r="4" spans="1:2" s="1" customFormat="1" x14ac:dyDescent="0.25">
      <c r="A4" s="42">
        <v>41675.443055555559</v>
      </c>
      <c r="B4" s="41">
        <v>12</v>
      </c>
    </row>
    <row r="5" spans="1:2" s="1" customFormat="1" x14ac:dyDescent="0.25">
      <c r="A5" s="42">
        <v>41689.474305555559</v>
      </c>
      <c r="B5" s="41">
        <v>0.66666666699999999</v>
      </c>
    </row>
    <row r="6" spans="1:2" s="1" customFormat="1" x14ac:dyDescent="0.25">
      <c r="A6" s="42">
        <v>41703.393750000003</v>
      </c>
      <c r="B6" s="41">
        <v>2</v>
      </c>
    </row>
    <row r="7" spans="1:2" s="1" customFormat="1" x14ac:dyDescent="0.25">
      <c r="A7" s="42">
        <v>41717</v>
      </c>
      <c r="B7" s="41">
        <v>0.66666666699999999</v>
      </c>
    </row>
    <row r="8" spans="1:2" s="1" customFormat="1" x14ac:dyDescent="0.25">
      <c r="A8" s="42">
        <v>41731.487500000003</v>
      </c>
      <c r="B8" s="41">
        <v>24</v>
      </c>
    </row>
    <row r="9" spans="1:2" s="1" customFormat="1" x14ac:dyDescent="0.25">
      <c r="A9" s="42">
        <v>41745.384722222225</v>
      </c>
      <c r="B9" s="41">
        <v>40</v>
      </c>
    </row>
    <row r="10" spans="1:2" s="1" customFormat="1" x14ac:dyDescent="0.25">
      <c r="A10" s="42">
        <v>41759.390277777777</v>
      </c>
      <c r="B10" s="41">
        <v>8</v>
      </c>
    </row>
    <row r="11" spans="1:2" s="1" customFormat="1" x14ac:dyDescent="0.25">
      <c r="A11" s="42">
        <v>41773</v>
      </c>
      <c r="B11" s="41">
        <v>40</v>
      </c>
    </row>
    <row r="12" spans="1:2" s="1" customFormat="1" x14ac:dyDescent="0.25">
      <c r="A12" s="42">
        <v>41787.409722222219</v>
      </c>
      <c r="B12" s="41">
        <v>350</v>
      </c>
    </row>
    <row r="13" spans="1:2" s="1" customFormat="1" x14ac:dyDescent="0.25">
      <c r="A13" s="42">
        <v>41801.456944444442</v>
      </c>
      <c r="B13" s="41">
        <v>0.66666666699999999</v>
      </c>
    </row>
    <row r="14" spans="1:2" s="1" customFormat="1" x14ac:dyDescent="0.25">
      <c r="A14" s="42">
        <v>41815.425000000003</v>
      </c>
      <c r="B14" s="41">
        <v>84</v>
      </c>
    </row>
    <row r="15" spans="1:2" s="1" customFormat="1" x14ac:dyDescent="0.25">
      <c r="A15" s="42">
        <v>41829.447916666664</v>
      </c>
      <c r="B15" s="41">
        <v>8</v>
      </c>
    </row>
    <row r="16" spans="1:2" s="1" customFormat="1" x14ac:dyDescent="0.25">
      <c r="A16" s="42">
        <v>41843.431944444441</v>
      </c>
      <c r="B16" s="41">
        <v>18</v>
      </c>
    </row>
    <row r="17" spans="1:2" s="1" customFormat="1" x14ac:dyDescent="0.25">
      <c r="A17" s="42">
        <v>41857.372916666667</v>
      </c>
      <c r="B17" s="41">
        <v>350</v>
      </c>
    </row>
    <row r="18" spans="1:2" s="1" customFormat="1" x14ac:dyDescent="0.25">
      <c r="A18" s="42">
        <v>41871.438194444447</v>
      </c>
      <c r="B18" s="41">
        <v>1300</v>
      </c>
    </row>
    <row r="19" spans="1:2" s="1" customFormat="1" x14ac:dyDescent="0.25">
      <c r="A19" s="42">
        <v>41885.380555555559</v>
      </c>
      <c r="B19" s="41">
        <v>4</v>
      </c>
    </row>
    <row r="20" spans="1:2" s="1" customFormat="1" x14ac:dyDescent="0.25">
      <c r="A20" s="42">
        <v>41899</v>
      </c>
      <c r="B20" s="41">
        <v>6</v>
      </c>
    </row>
    <row r="21" spans="1:2" s="1" customFormat="1" x14ac:dyDescent="0.25">
      <c r="A21" s="42">
        <v>41913.409722222219</v>
      </c>
      <c r="B21" s="41">
        <v>16</v>
      </c>
    </row>
    <row r="22" spans="1:2" s="1" customFormat="1" x14ac:dyDescent="0.25">
      <c r="A22" s="42">
        <v>41927.411805555559</v>
      </c>
      <c r="B22" s="41">
        <v>0.66666666699999999</v>
      </c>
    </row>
    <row r="23" spans="1:2" s="1" customFormat="1" x14ac:dyDescent="0.25">
      <c r="A23" s="42">
        <v>41941.37777777778</v>
      </c>
      <c r="B23" s="41">
        <v>0.66666666699999999</v>
      </c>
    </row>
    <row r="24" spans="1:2" s="1" customFormat="1" x14ac:dyDescent="0.25">
      <c r="A24" s="42">
        <v>41955.472222222219</v>
      </c>
      <c r="B24" s="41">
        <v>0.66666666699999999</v>
      </c>
    </row>
    <row r="25" spans="1:2" s="1" customFormat="1" x14ac:dyDescent="0.25">
      <c r="A25" s="42">
        <v>41969.44027777778</v>
      </c>
      <c r="B25" s="41">
        <v>0.66666666699999999</v>
      </c>
    </row>
    <row r="26" spans="1:2" x14ac:dyDescent="0.25">
      <c r="A26" s="42">
        <v>41983.45416666667</v>
      </c>
      <c r="B26" s="41">
        <v>2</v>
      </c>
    </row>
    <row r="27" spans="1:2" x14ac:dyDescent="0.25">
      <c r="A27" s="42">
        <v>42011.387499999997</v>
      </c>
      <c r="B27" s="41">
        <v>10</v>
      </c>
    </row>
    <row r="28" spans="1:2" x14ac:dyDescent="0.25">
      <c r="A28" s="42">
        <v>42025.445833333331</v>
      </c>
      <c r="B28" s="41">
        <v>2</v>
      </c>
    </row>
    <row r="29" spans="1:2" x14ac:dyDescent="0.25">
      <c r="A29" s="42">
        <v>42081.388194444444</v>
      </c>
      <c r="B29" s="41">
        <v>4</v>
      </c>
    </row>
    <row r="30" spans="1:2" x14ac:dyDescent="0.25">
      <c r="A30" s="42">
        <v>42094</v>
      </c>
      <c r="B30" s="41">
        <v>2</v>
      </c>
    </row>
    <row r="31" spans="1:2" x14ac:dyDescent="0.25">
      <c r="A31" s="42">
        <v>42109</v>
      </c>
      <c r="B31" s="41">
        <v>52</v>
      </c>
    </row>
    <row r="32" spans="1:2" x14ac:dyDescent="0.25">
      <c r="A32" s="42">
        <v>42123</v>
      </c>
      <c r="B32" s="41">
        <v>20</v>
      </c>
    </row>
    <row r="33" spans="1:2" x14ac:dyDescent="0.25">
      <c r="A33" s="42">
        <v>42137</v>
      </c>
      <c r="B33" s="41">
        <v>2</v>
      </c>
    </row>
    <row r="34" spans="1:2" x14ac:dyDescent="0.25">
      <c r="A34" s="42">
        <v>42151</v>
      </c>
      <c r="B34" s="41">
        <v>10</v>
      </c>
    </row>
    <row r="35" spans="1:2" x14ac:dyDescent="0.25">
      <c r="A35" s="42">
        <v>42165</v>
      </c>
      <c r="B35" s="41">
        <v>74</v>
      </c>
    </row>
    <row r="36" spans="1:2" x14ac:dyDescent="0.25">
      <c r="A36" s="42">
        <v>42179</v>
      </c>
      <c r="B36" s="41">
        <v>1950</v>
      </c>
    </row>
    <row r="37" spans="1:2" x14ac:dyDescent="0.25">
      <c r="A37" s="42">
        <v>42193</v>
      </c>
      <c r="B37" s="41">
        <v>34</v>
      </c>
    </row>
    <row r="38" spans="1:2" x14ac:dyDescent="0.25">
      <c r="A38" s="42">
        <v>42207</v>
      </c>
      <c r="B38" s="41">
        <v>6</v>
      </c>
    </row>
    <row r="39" spans="1:2" x14ac:dyDescent="0.25">
      <c r="A39" s="42">
        <v>42221</v>
      </c>
      <c r="B39" s="41">
        <v>16</v>
      </c>
    </row>
    <row r="40" spans="1:2" x14ac:dyDescent="0.25">
      <c r="A40" s="42">
        <v>42235</v>
      </c>
      <c r="B40" s="41">
        <v>56</v>
      </c>
    </row>
    <row r="41" spans="1:2" x14ac:dyDescent="0.25">
      <c r="A41" s="42">
        <v>42249</v>
      </c>
      <c r="B41" s="41">
        <v>8</v>
      </c>
    </row>
    <row r="42" spans="1:2" x14ac:dyDescent="0.25">
      <c r="A42" s="42">
        <v>42263</v>
      </c>
      <c r="B42" s="41">
        <v>0.66666666699999999</v>
      </c>
    </row>
    <row r="43" spans="1:2" x14ac:dyDescent="0.25">
      <c r="A43" s="42">
        <v>42277</v>
      </c>
      <c r="B43" s="41">
        <v>164</v>
      </c>
    </row>
    <row r="44" spans="1:2" x14ac:dyDescent="0.25">
      <c r="A44" s="42">
        <v>42360</v>
      </c>
      <c r="B44" s="41">
        <v>20</v>
      </c>
    </row>
    <row r="45" spans="1:2" x14ac:dyDescent="0.25">
      <c r="A45" s="42">
        <v>42376</v>
      </c>
      <c r="B45" s="41">
        <v>48</v>
      </c>
    </row>
    <row r="46" spans="1:2" x14ac:dyDescent="0.25">
      <c r="A46" s="42">
        <v>42389</v>
      </c>
      <c r="B46" s="41">
        <v>18</v>
      </c>
    </row>
    <row r="47" spans="1:2" x14ac:dyDescent="0.25">
      <c r="A47" s="42">
        <v>42403</v>
      </c>
      <c r="B47" s="41">
        <v>28</v>
      </c>
    </row>
    <row r="48" spans="1:2" x14ac:dyDescent="0.25">
      <c r="A48" s="42">
        <v>42417</v>
      </c>
      <c r="B48" s="41">
        <v>18</v>
      </c>
    </row>
    <row r="49" spans="1:2" x14ac:dyDescent="0.25">
      <c r="A49" s="42">
        <v>42431</v>
      </c>
      <c r="B49" s="41">
        <v>0.66666666699999999</v>
      </c>
    </row>
    <row r="50" spans="1:2" x14ac:dyDescent="0.25">
      <c r="A50" s="42">
        <v>42445</v>
      </c>
      <c r="B50" s="41">
        <v>0.66666666699999999</v>
      </c>
    </row>
    <row r="51" spans="1:2" x14ac:dyDescent="0.25">
      <c r="A51" s="42">
        <v>42459</v>
      </c>
      <c r="B51" s="41">
        <v>400</v>
      </c>
    </row>
    <row r="52" spans="1:2" x14ac:dyDescent="0.25">
      <c r="A52" s="42">
        <v>42473</v>
      </c>
      <c r="B52" s="41">
        <v>0.66666666699999999</v>
      </c>
    </row>
    <row r="53" spans="1:2" x14ac:dyDescent="0.25">
      <c r="A53" s="42">
        <v>42486</v>
      </c>
      <c r="B53" s="41">
        <v>10</v>
      </c>
    </row>
    <row r="54" spans="1:2" x14ac:dyDescent="0.25">
      <c r="A54" s="42">
        <v>42501</v>
      </c>
      <c r="B54" s="41">
        <v>500</v>
      </c>
    </row>
    <row r="55" spans="1:2" x14ac:dyDescent="0.25">
      <c r="A55" s="42">
        <v>42515</v>
      </c>
      <c r="B55" s="41">
        <v>74</v>
      </c>
    </row>
    <row r="56" spans="1:2" x14ac:dyDescent="0.25">
      <c r="A56" s="42">
        <v>42529</v>
      </c>
      <c r="B56" s="41">
        <v>2</v>
      </c>
    </row>
    <row r="57" spans="1:2" x14ac:dyDescent="0.25">
      <c r="A57" s="42">
        <v>42543</v>
      </c>
      <c r="B57" s="41">
        <v>0.66666666699999999</v>
      </c>
    </row>
    <row r="58" spans="1:2" x14ac:dyDescent="0.25">
      <c r="A58" s="42">
        <v>42557</v>
      </c>
      <c r="B58" s="41">
        <v>4</v>
      </c>
    </row>
    <row r="59" spans="1:2" x14ac:dyDescent="0.25">
      <c r="A59" s="42">
        <v>42571</v>
      </c>
      <c r="B59" s="41">
        <v>0.66666666699999999</v>
      </c>
    </row>
    <row r="60" spans="1:2" x14ac:dyDescent="0.25">
      <c r="A60" s="42">
        <v>42599</v>
      </c>
      <c r="B60" s="41">
        <v>4</v>
      </c>
    </row>
    <row r="61" spans="1:2" x14ac:dyDescent="0.25">
      <c r="A61" s="42">
        <v>42613</v>
      </c>
      <c r="B61" s="41">
        <v>8</v>
      </c>
    </row>
    <row r="62" spans="1:2" x14ac:dyDescent="0.25">
      <c r="A62" s="42">
        <v>42627</v>
      </c>
      <c r="B62" s="41">
        <v>30</v>
      </c>
    </row>
    <row r="63" spans="1:2" x14ac:dyDescent="0.25">
      <c r="A63" s="42">
        <v>42641</v>
      </c>
      <c r="B63" s="41">
        <v>6</v>
      </c>
    </row>
    <row r="64" spans="1:2" x14ac:dyDescent="0.25">
      <c r="A64" s="42">
        <v>42655</v>
      </c>
      <c r="B64" s="41">
        <v>2</v>
      </c>
    </row>
    <row r="65" spans="1:2" x14ac:dyDescent="0.25">
      <c r="A65" s="42">
        <v>42669</v>
      </c>
      <c r="B65" s="41">
        <v>0.66666666699999999</v>
      </c>
    </row>
    <row r="66" spans="1:2" x14ac:dyDescent="0.25">
      <c r="A66" s="42">
        <v>42683</v>
      </c>
      <c r="B66" s="41">
        <v>4</v>
      </c>
    </row>
    <row r="67" spans="1:2" x14ac:dyDescent="0.25">
      <c r="A67" s="42">
        <v>42697</v>
      </c>
      <c r="B67" s="41">
        <v>16.666666670000001</v>
      </c>
    </row>
    <row r="68" spans="1:2" x14ac:dyDescent="0.25">
      <c r="A68" s="42">
        <v>42711</v>
      </c>
      <c r="B68" s="41">
        <v>3.3333333330000001</v>
      </c>
    </row>
    <row r="69" spans="1:2" x14ac:dyDescent="0.25">
      <c r="A69" s="42">
        <v>42725</v>
      </c>
      <c r="B69" s="41">
        <v>2</v>
      </c>
    </row>
    <row r="70" spans="1:2" x14ac:dyDescent="0.25">
      <c r="A70" s="42">
        <v>42740</v>
      </c>
      <c r="B70" s="41">
        <v>12</v>
      </c>
    </row>
    <row r="71" spans="1:2" x14ac:dyDescent="0.25">
      <c r="A71" s="42">
        <v>42753</v>
      </c>
      <c r="B71" s="41">
        <v>10</v>
      </c>
    </row>
    <row r="72" spans="1:2" x14ac:dyDescent="0.25">
      <c r="A72" s="42">
        <v>42767</v>
      </c>
      <c r="B72" s="41">
        <v>2</v>
      </c>
    </row>
    <row r="73" spans="1:2" x14ac:dyDescent="0.25">
      <c r="A73" s="42">
        <v>42781</v>
      </c>
      <c r="B73" s="41">
        <v>24</v>
      </c>
    </row>
    <row r="74" spans="1:2" x14ac:dyDescent="0.25">
      <c r="A74" s="42">
        <v>42795</v>
      </c>
      <c r="B74" s="41">
        <v>2</v>
      </c>
    </row>
    <row r="75" spans="1:2" x14ac:dyDescent="0.25">
      <c r="A75" s="42">
        <v>42809</v>
      </c>
      <c r="B75" s="41">
        <v>6</v>
      </c>
    </row>
    <row r="76" spans="1:2" x14ac:dyDescent="0.25">
      <c r="A76" s="42">
        <v>42823</v>
      </c>
      <c r="B76" s="41">
        <v>8</v>
      </c>
    </row>
    <row r="77" spans="1:2" x14ac:dyDescent="0.25">
      <c r="A77" s="42">
        <v>42836</v>
      </c>
      <c r="B77" s="41">
        <v>14</v>
      </c>
    </row>
    <row r="78" spans="1:2" x14ac:dyDescent="0.25">
      <c r="A78" s="42">
        <v>42851</v>
      </c>
      <c r="B78" s="41">
        <v>8</v>
      </c>
    </row>
    <row r="79" spans="1:2" x14ac:dyDescent="0.25">
      <c r="A79" s="42">
        <v>42879</v>
      </c>
      <c r="B79" s="41">
        <v>16</v>
      </c>
    </row>
    <row r="80" spans="1:2" x14ac:dyDescent="0.25">
      <c r="A80" s="42">
        <v>42893</v>
      </c>
      <c r="B80" s="41">
        <v>900</v>
      </c>
    </row>
    <row r="81" spans="1:2" x14ac:dyDescent="0.25">
      <c r="A81" s="42">
        <v>42907</v>
      </c>
      <c r="B81" s="41">
        <v>0.66666666699999999</v>
      </c>
    </row>
    <row r="82" spans="1:2" x14ac:dyDescent="0.25">
      <c r="A82" s="42">
        <v>42921</v>
      </c>
      <c r="B82" s="41">
        <v>2</v>
      </c>
    </row>
    <row r="83" spans="1:2" x14ac:dyDescent="0.25">
      <c r="A83" s="42">
        <v>42935</v>
      </c>
      <c r="B83" s="41">
        <v>0.66666666699999999</v>
      </c>
    </row>
    <row r="84" spans="1:2" x14ac:dyDescent="0.25">
      <c r="A84" s="42">
        <v>42949</v>
      </c>
      <c r="B84" s="41">
        <v>4</v>
      </c>
    </row>
    <row r="85" spans="1:2" x14ac:dyDescent="0.25">
      <c r="A85" s="42">
        <v>42963</v>
      </c>
      <c r="B85" s="41">
        <v>4</v>
      </c>
    </row>
    <row r="86" spans="1:2" x14ac:dyDescent="0.25">
      <c r="A86" s="42">
        <v>42977</v>
      </c>
      <c r="B86" s="41">
        <v>150</v>
      </c>
    </row>
    <row r="87" spans="1:2" x14ac:dyDescent="0.25">
      <c r="A87" s="42">
        <v>42991</v>
      </c>
      <c r="B87" s="41">
        <v>8</v>
      </c>
    </row>
    <row r="88" spans="1:2" x14ac:dyDescent="0.25">
      <c r="A88" s="42">
        <v>43005</v>
      </c>
      <c r="B88" s="41">
        <v>0.66666666699999999</v>
      </c>
    </row>
    <row r="89" spans="1:2" x14ac:dyDescent="0.25">
      <c r="A89" s="42">
        <v>43019</v>
      </c>
      <c r="B89" s="41">
        <v>0.66666666699999999</v>
      </c>
    </row>
    <row r="90" spans="1:2" x14ac:dyDescent="0.25">
      <c r="A90" s="42">
        <v>43033</v>
      </c>
      <c r="B90" s="41">
        <v>12</v>
      </c>
    </row>
    <row r="91" spans="1:2" x14ac:dyDescent="0.25">
      <c r="A91" s="42">
        <v>43047</v>
      </c>
      <c r="B91" s="41">
        <v>2</v>
      </c>
    </row>
    <row r="92" spans="1:2" x14ac:dyDescent="0.25">
      <c r="A92" s="42">
        <v>43061</v>
      </c>
      <c r="B92" s="41">
        <v>180</v>
      </c>
    </row>
    <row r="93" spans="1:2" x14ac:dyDescent="0.25">
      <c r="A93" s="42">
        <v>43075</v>
      </c>
      <c r="B93" s="41">
        <v>0.66666666699999999</v>
      </c>
    </row>
    <row r="94" spans="1:2" x14ac:dyDescent="0.25">
      <c r="A94" s="42">
        <v>43089</v>
      </c>
      <c r="B94" s="41">
        <v>0.66666666699999999</v>
      </c>
    </row>
    <row r="95" spans="1:2" x14ac:dyDescent="0.25">
      <c r="A95" s="42">
        <v>43103</v>
      </c>
      <c r="B95" s="41">
        <v>88</v>
      </c>
    </row>
    <row r="96" spans="1:2" x14ac:dyDescent="0.25">
      <c r="A96" s="42">
        <v>43117</v>
      </c>
      <c r="B96" s="41">
        <v>32</v>
      </c>
    </row>
    <row r="97" spans="1:2" x14ac:dyDescent="0.25">
      <c r="A97" s="42">
        <v>43131</v>
      </c>
      <c r="B97" s="41">
        <v>4</v>
      </c>
    </row>
    <row r="98" spans="1:2" x14ac:dyDescent="0.25">
      <c r="A98" s="42">
        <v>43145</v>
      </c>
      <c r="B98" s="41">
        <v>26</v>
      </c>
    </row>
    <row r="99" spans="1:2" x14ac:dyDescent="0.25">
      <c r="A99" s="42">
        <v>43159</v>
      </c>
      <c r="B99" s="41">
        <v>4</v>
      </c>
    </row>
    <row r="100" spans="1:2" x14ac:dyDescent="0.25">
      <c r="A100" s="42">
        <v>43173</v>
      </c>
      <c r="B100" s="41">
        <v>0.66666666699999999</v>
      </c>
    </row>
    <row r="101" spans="1:2" x14ac:dyDescent="0.25">
      <c r="A101" s="42">
        <v>43186</v>
      </c>
      <c r="B101" s="41">
        <v>0.66666666699999999</v>
      </c>
    </row>
    <row r="102" spans="1:2" x14ac:dyDescent="0.25">
      <c r="A102" s="42">
        <v>43201</v>
      </c>
      <c r="B102" s="41">
        <v>6</v>
      </c>
    </row>
    <row r="103" spans="1:2" x14ac:dyDescent="0.25">
      <c r="A103" s="42">
        <v>43215</v>
      </c>
      <c r="B103" s="41">
        <v>6</v>
      </c>
    </row>
    <row r="104" spans="1:2" x14ac:dyDescent="0.25">
      <c r="A104" s="42">
        <v>43229</v>
      </c>
      <c r="B104" s="41">
        <v>16</v>
      </c>
    </row>
    <row r="105" spans="1:2" x14ac:dyDescent="0.25">
      <c r="A105" s="42">
        <v>43243</v>
      </c>
      <c r="B105" s="41">
        <v>4</v>
      </c>
    </row>
    <row r="106" spans="1:2" x14ac:dyDescent="0.25">
      <c r="A106" s="42">
        <v>43257</v>
      </c>
      <c r="B106" s="41">
        <v>4</v>
      </c>
    </row>
    <row r="107" spans="1:2" x14ac:dyDescent="0.25">
      <c r="A107" s="42">
        <v>43271</v>
      </c>
      <c r="B107" s="41">
        <v>2</v>
      </c>
    </row>
    <row r="108" spans="1:2" x14ac:dyDescent="0.25">
      <c r="A108" s="42">
        <v>43285</v>
      </c>
      <c r="B108" s="41">
        <v>0.66666666699999999</v>
      </c>
    </row>
    <row r="109" spans="1:2" x14ac:dyDescent="0.25">
      <c r="A109" s="42">
        <v>43299</v>
      </c>
      <c r="B109" s="41">
        <v>10</v>
      </c>
    </row>
    <row r="110" spans="1:2" x14ac:dyDescent="0.25">
      <c r="A110" s="42">
        <v>43313</v>
      </c>
      <c r="B110" s="41">
        <v>36</v>
      </c>
    </row>
    <row r="111" spans="1:2" x14ac:dyDescent="0.25">
      <c r="A111" s="42">
        <v>43327</v>
      </c>
      <c r="B111" s="41">
        <v>28</v>
      </c>
    </row>
    <row r="112" spans="1:2" x14ac:dyDescent="0.25">
      <c r="A112" s="42">
        <v>43341</v>
      </c>
      <c r="B112" s="41">
        <v>10</v>
      </c>
    </row>
    <row r="113" spans="1:2" x14ac:dyDescent="0.25">
      <c r="A113" s="42">
        <v>43355</v>
      </c>
      <c r="B113" s="41">
        <v>0.66666666699999999</v>
      </c>
    </row>
    <row r="114" spans="1:2" x14ac:dyDescent="0.25">
      <c r="A114" s="42">
        <v>43369</v>
      </c>
      <c r="B114" s="41">
        <v>4</v>
      </c>
    </row>
    <row r="115" spans="1:2" x14ac:dyDescent="0.25">
      <c r="A115" s="42">
        <v>43383</v>
      </c>
      <c r="B115" s="41">
        <v>0.66666666699999999</v>
      </c>
    </row>
    <row r="116" spans="1:2" x14ac:dyDescent="0.25">
      <c r="A116" s="42">
        <v>43397.473611111112</v>
      </c>
      <c r="B116" s="41">
        <v>0.66666666699999999</v>
      </c>
    </row>
    <row r="117" spans="1:2" x14ac:dyDescent="0.25">
      <c r="A117" s="42">
        <v>43411.37222222222</v>
      </c>
      <c r="B117" s="41">
        <v>2</v>
      </c>
    </row>
    <row r="118" spans="1:2" x14ac:dyDescent="0.25">
      <c r="A118" s="42">
        <v>43425.366666666669</v>
      </c>
      <c r="B118" s="41">
        <v>2</v>
      </c>
    </row>
    <row r="119" spans="1:2" x14ac:dyDescent="0.25">
      <c r="A119" s="42">
        <v>43439</v>
      </c>
      <c r="B119" s="41">
        <v>0.66666666699999999</v>
      </c>
    </row>
    <row r="120" spans="1:2" x14ac:dyDescent="0.25">
      <c r="A120" s="42">
        <v>43453.419444444444</v>
      </c>
      <c r="B120" s="41">
        <v>2</v>
      </c>
    </row>
    <row r="121" spans="1:2" x14ac:dyDescent="0.25">
      <c r="A121" s="42">
        <v>43468.390972222223</v>
      </c>
      <c r="B121" s="41">
        <v>18</v>
      </c>
    </row>
    <row r="122" spans="1:2" x14ac:dyDescent="0.25">
      <c r="A122" s="42">
        <v>43481.359722222223</v>
      </c>
      <c r="B122" s="41">
        <v>12</v>
      </c>
    </row>
    <row r="123" spans="1:2" x14ac:dyDescent="0.25">
      <c r="A123" s="42">
        <v>43495</v>
      </c>
      <c r="B123" s="41">
        <v>1500</v>
      </c>
    </row>
    <row r="124" spans="1:2" x14ac:dyDescent="0.25">
      <c r="A124" s="42">
        <v>43509.402083333334</v>
      </c>
      <c r="B124" s="41">
        <v>4</v>
      </c>
    </row>
    <row r="125" spans="1:2" x14ac:dyDescent="0.25">
      <c r="A125" s="42">
        <v>43523.40347222222</v>
      </c>
      <c r="B125" s="41">
        <v>4</v>
      </c>
    </row>
    <row r="126" spans="1:2" x14ac:dyDescent="0.25">
      <c r="A126" s="42">
        <v>43537</v>
      </c>
      <c r="B126" s="41">
        <v>8</v>
      </c>
    </row>
    <row r="127" spans="1:2" x14ac:dyDescent="0.25">
      <c r="A127" s="42">
        <v>43551</v>
      </c>
      <c r="B127" s="41">
        <v>0.66666666699999999</v>
      </c>
    </row>
    <row r="128" spans="1:2" x14ac:dyDescent="0.25">
      <c r="A128" s="42">
        <v>43565</v>
      </c>
      <c r="B128" s="41">
        <v>0.66666666699999999</v>
      </c>
    </row>
    <row r="129" spans="1:2" x14ac:dyDescent="0.25">
      <c r="A129" s="42">
        <v>43579</v>
      </c>
      <c r="B129" s="41">
        <v>44</v>
      </c>
    </row>
    <row r="130" spans="1:2" x14ac:dyDescent="0.25">
      <c r="A130" s="42">
        <v>43592</v>
      </c>
      <c r="B130" s="41">
        <v>0.66666666699999999</v>
      </c>
    </row>
    <row r="131" spans="1:2" x14ac:dyDescent="0.25">
      <c r="A131" s="42">
        <v>43607</v>
      </c>
      <c r="B131" s="41">
        <v>0.66666666699999999</v>
      </c>
    </row>
    <row r="132" spans="1:2" x14ac:dyDescent="0.25">
      <c r="A132" s="42">
        <v>43621</v>
      </c>
      <c r="B132" s="44">
        <v>76</v>
      </c>
    </row>
    <row r="133" spans="1:2" x14ac:dyDescent="0.25">
      <c r="A133" s="42">
        <v>43635</v>
      </c>
      <c r="B133" s="44">
        <v>6</v>
      </c>
    </row>
    <row r="134" spans="1:2" x14ac:dyDescent="0.25">
      <c r="A134" s="42">
        <v>43649</v>
      </c>
      <c r="B134" s="44">
        <v>26</v>
      </c>
    </row>
    <row r="135" spans="1:2" x14ac:dyDescent="0.25">
      <c r="A135" s="42">
        <v>43663</v>
      </c>
      <c r="B135" s="44">
        <v>6</v>
      </c>
    </row>
    <row r="136" spans="1:2" x14ac:dyDescent="0.25">
      <c r="A136" s="42">
        <v>43677</v>
      </c>
      <c r="B136" s="44">
        <v>54</v>
      </c>
    </row>
    <row r="137" spans="1:2" x14ac:dyDescent="0.25">
      <c r="A137" s="42">
        <v>43691</v>
      </c>
      <c r="B137" s="41">
        <v>0.66666666699999999</v>
      </c>
    </row>
    <row r="138" spans="1:2" x14ac:dyDescent="0.25">
      <c r="A138" s="42">
        <v>43705</v>
      </c>
      <c r="B138" s="44">
        <v>2</v>
      </c>
    </row>
    <row r="139" spans="1:2" x14ac:dyDescent="0.25">
      <c r="A139" s="42">
        <v>43747</v>
      </c>
      <c r="B139" s="44">
        <v>36</v>
      </c>
    </row>
    <row r="140" spans="1:2" x14ac:dyDescent="0.25">
      <c r="A140" s="42">
        <v>43761</v>
      </c>
      <c r="B140" s="44">
        <v>2</v>
      </c>
    </row>
    <row r="141" spans="1:2" x14ac:dyDescent="0.25">
      <c r="A141" s="42">
        <v>43775</v>
      </c>
      <c r="B141" s="44">
        <v>10</v>
      </c>
    </row>
    <row r="142" spans="1:2" x14ac:dyDescent="0.25">
      <c r="A142" s="42">
        <v>43789</v>
      </c>
      <c r="B142" s="44">
        <v>2</v>
      </c>
    </row>
    <row r="143" spans="1:2" x14ac:dyDescent="0.25">
      <c r="A143" s="45">
        <v>43804</v>
      </c>
      <c r="B143" s="44">
        <v>14</v>
      </c>
    </row>
    <row r="144" spans="1:2" x14ac:dyDescent="0.25">
      <c r="A144" s="45">
        <v>43817</v>
      </c>
      <c r="B144" s="44">
        <v>110</v>
      </c>
    </row>
    <row r="145" spans="1:2" x14ac:dyDescent="0.25">
      <c r="A145" s="45">
        <v>43828</v>
      </c>
      <c r="B145" s="44">
        <v>0.66666599999999998</v>
      </c>
    </row>
    <row r="146" spans="1:2" x14ac:dyDescent="0.25">
      <c r="A146" s="45">
        <v>43845</v>
      </c>
      <c r="B146" s="44">
        <v>4</v>
      </c>
    </row>
    <row r="147" spans="1:2" x14ac:dyDescent="0.25">
      <c r="A147" s="45">
        <v>43859</v>
      </c>
      <c r="B147" s="44">
        <v>4</v>
      </c>
    </row>
    <row r="148" spans="1:2" x14ac:dyDescent="0.25">
      <c r="A148" s="45">
        <v>43873</v>
      </c>
      <c r="B148" s="44">
        <v>80</v>
      </c>
    </row>
    <row r="149" spans="1:2" x14ac:dyDescent="0.25">
      <c r="A149" s="45">
        <v>43887</v>
      </c>
      <c r="B149" s="44">
        <v>4</v>
      </c>
    </row>
    <row r="150" spans="1:2" x14ac:dyDescent="0.25">
      <c r="A150" s="45">
        <v>43901</v>
      </c>
      <c r="B150" s="44">
        <v>2</v>
      </c>
    </row>
    <row r="151" spans="1:2" x14ac:dyDescent="0.25">
      <c r="A151" s="42">
        <v>43985</v>
      </c>
      <c r="B151" s="41">
        <v>1550</v>
      </c>
    </row>
    <row r="152" spans="1:2" x14ac:dyDescent="0.25">
      <c r="A152" s="42">
        <v>43999</v>
      </c>
      <c r="B152" s="41">
        <v>6</v>
      </c>
    </row>
    <row r="153" spans="1:2" x14ac:dyDescent="0.25">
      <c r="A153" s="42">
        <v>44013</v>
      </c>
      <c r="B153" s="41">
        <v>2</v>
      </c>
    </row>
    <row r="154" spans="1:2" x14ac:dyDescent="0.25">
      <c r="A154" s="42">
        <v>44027</v>
      </c>
      <c r="B154" s="41">
        <v>12</v>
      </c>
    </row>
    <row r="155" spans="1:2" x14ac:dyDescent="0.25">
      <c r="A155" s="42">
        <v>44041</v>
      </c>
      <c r="B155" s="41">
        <v>10</v>
      </c>
    </row>
    <row r="156" spans="1:2" x14ac:dyDescent="0.25">
      <c r="A156" s="46">
        <v>44059</v>
      </c>
      <c r="B156" s="41">
        <v>12</v>
      </c>
    </row>
    <row r="157" spans="1:2" x14ac:dyDescent="0.25">
      <c r="A157" s="46">
        <v>44069</v>
      </c>
      <c r="B157" s="41">
        <v>16</v>
      </c>
    </row>
    <row r="158" spans="1:2" x14ac:dyDescent="0.25">
      <c r="A158" s="42">
        <v>44083</v>
      </c>
      <c r="B158" s="41">
        <v>14</v>
      </c>
    </row>
    <row r="159" spans="1:2" x14ac:dyDescent="0.25">
      <c r="A159" s="42">
        <v>44097</v>
      </c>
      <c r="B159" s="41">
        <v>2</v>
      </c>
    </row>
    <row r="160" spans="1:2" x14ac:dyDescent="0.25">
      <c r="A160" s="42">
        <v>44111</v>
      </c>
      <c r="B160" s="41">
        <v>0.22184874961635634</v>
      </c>
    </row>
    <row r="161" spans="1:2" x14ac:dyDescent="0.25">
      <c r="A161" s="42">
        <v>44125</v>
      </c>
      <c r="B161" s="41">
        <v>2</v>
      </c>
    </row>
    <row r="162" spans="1:2" x14ac:dyDescent="0.25">
      <c r="A162" s="42">
        <v>44139</v>
      </c>
      <c r="B162" s="41">
        <v>4</v>
      </c>
    </row>
    <row r="163" spans="1:2" x14ac:dyDescent="0.25">
      <c r="A163" s="42">
        <v>44178</v>
      </c>
      <c r="B163" s="41">
        <f>2/3</f>
        <v>0.66666666666666663</v>
      </c>
    </row>
    <row r="164" spans="1:2" x14ac:dyDescent="0.25">
      <c r="A164" s="42">
        <v>44195</v>
      </c>
      <c r="B164" s="41">
        <f>2/3</f>
        <v>0.66666666666666663</v>
      </c>
    </row>
    <row r="165" spans="1:2" x14ac:dyDescent="0.25">
      <c r="A165" s="42">
        <v>44209</v>
      </c>
      <c r="B165" s="41">
        <f>2/3</f>
        <v>0.66666666666666663</v>
      </c>
    </row>
    <row r="166" spans="1:2" x14ac:dyDescent="0.25">
      <c r="A166" s="42">
        <v>44223</v>
      </c>
      <c r="B166" s="41">
        <f>2/3</f>
        <v>0.66666666666666663</v>
      </c>
    </row>
    <row r="167" spans="1:2" x14ac:dyDescent="0.25">
      <c r="A167" s="42">
        <v>44237</v>
      </c>
      <c r="B167" s="41">
        <v>72</v>
      </c>
    </row>
    <row r="168" spans="1:2" x14ac:dyDescent="0.25">
      <c r="A168" s="42">
        <v>44265</v>
      </c>
      <c r="B168" s="41">
        <f>200*3</f>
        <v>600</v>
      </c>
    </row>
    <row r="169" spans="1:2" x14ac:dyDescent="0.25">
      <c r="A169" s="42">
        <v>44293</v>
      </c>
      <c r="B169" s="41">
        <v>14</v>
      </c>
    </row>
    <row r="170" spans="1:2" x14ac:dyDescent="0.25">
      <c r="A170" s="42">
        <v>44307</v>
      </c>
      <c r="B170" s="41">
        <v>18</v>
      </c>
    </row>
    <row r="171" spans="1:2" x14ac:dyDescent="0.25">
      <c r="A171" s="42">
        <v>44321</v>
      </c>
      <c r="B171" s="41">
        <v>190</v>
      </c>
    </row>
    <row r="172" spans="1:2" x14ac:dyDescent="0.25">
      <c r="A172" s="42">
        <v>44349</v>
      </c>
      <c r="B172" s="41">
        <v>6</v>
      </c>
    </row>
    <row r="173" spans="1:2" x14ac:dyDescent="0.25">
      <c r="A173" s="42">
        <v>44405</v>
      </c>
      <c r="B173" s="41">
        <v>112</v>
      </c>
    </row>
    <row r="174" spans="1:2" x14ac:dyDescent="0.25">
      <c r="A174" s="42">
        <v>44433</v>
      </c>
      <c r="B174" s="41">
        <v>64</v>
      </c>
    </row>
    <row r="175" spans="1:2" x14ac:dyDescent="0.25">
      <c r="A175" s="42">
        <v>44447</v>
      </c>
      <c r="B175" s="41">
        <v>12</v>
      </c>
    </row>
    <row r="176" spans="1:2" x14ac:dyDescent="0.25">
      <c r="A176" s="42">
        <v>44461</v>
      </c>
      <c r="B176" s="41">
        <v>8</v>
      </c>
    </row>
    <row r="177" spans="1:2" x14ac:dyDescent="0.25">
      <c r="A177" s="42">
        <v>44475</v>
      </c>
      <c r="B177" s="41">
        <v>16</v>
      </c>
    </row>
    <row r="178" spans="1:2" x14ac:dyDescent="0.25">
      <c r="A178" s="42">
        <v>44517</v>
      </c>
      <c r="B178" s="41">
        <v>19863</v>
      </c>
    </row>
    <row r="179" spans="1:2" x14ac:dyDescent="0.25">
      <c r="A179" s="42">
        <v>44573</v>
      </c>
      <c r="B179" s="41">
        <v>30</v>
      </c>
    </row>
    <row r="180" spans="1:2" x14ac:dyDescent="0.25">
      <c r="A180" s="42">
        <v>44587</v>
      </c>
      <c r="B180" s="41">
        <f>10/3</f>
        <v>3.3333333333333335</v>
      </c>
    </row>
    <row r="181" spans="1:2" x14ac:dyDescent="0.25">
      <c r="A181" s="42">
        <v>44601</v>
      </c>
      <c r="B181" s="41">
        <v>20</v>
      </c>
    </row>
    <row r="182" spans="1:2" x14ac:dyDescent="0.25">
      <c r="A182" s="42">
        <v>44629</v>
      </c>
      <c r="B182" s="41">
        <v>10</v>
      </c>
    </row>
    <row r="183" spans="1:2" x14ac:dyDescent="0.25">
      <c r="A183" s="42">
        <v>44685</v>
      </c>
      <c r="B183" s="41">
        <f>10/3</f>
        <v>3.3333333333333335</v>
      </c>
    </row>
    <row r="184" spans="1:2" x14ac:dyDescent="0.25">
      <c r="A184" s="42">
        <v>44700</v>
      </c>
      <c r="B184" s="44">
        <v>41</v>
      </c>
    </row>
    <row r="185" spans="1:2" x14ac:dyDescent="0.25">
      <c r="A185" s="42">
        <v>44713</v>
      </c>
      <c r="B185" s="44">
        <v>17</v>
      </c>
    </row>
    <row r="186" spans="1:2" x14ac:dyDescent="0.25">
      <c r="A186" s="42">
        <v>44727</v>
      </c>
      <c r="B186" s="44">
        <v>30</v>
      </c>
    </row>
    <row r="187" spans="1:2" x14ac:dyDescent="0.25">
      <c r="A187" s="42">
        <v>44741</v>
      </c>
      <c r="B187" s="44">
        <f>1/3</f>
        <v>0.33333333333333331</v>
      </c>
    </row>
    <row r="188" spans="1:2" x14ac:dyDescent="0.25">
      <c r="A188" s="42">
        <v>44755</v>
      </c>
      <c r="B188" s="44">
        <v>5</v>
      </c>
    </row>
    <row r="189" spans="1:2" x14ac:dyDescent="0.25">
      <c r="A189" s="42">
        <v>44769</v>
      </c>
      <c r="B189" s="44">
        <f>1/3</f>
        <v>0.33333333333333331</v>
      </c>
    </row>
    <row r="190" spans="1:2" x14ac:dyDescent="0.25">
      <c r="A190" s="42">
        <v>44797</v>
      </c>
      <c r="B190" s="44">
        <f>1/3</f>
        <v>0.33333333333333331</v>
      </c>
    </row>
    <row r="191" spans="1:2" x14ac:dyDescent="0.25">
      <c r="A191" s="42">
        <v>44928</v>
      </c>
      <c r="B191" s="44">
        <v>816</v>
      </c>
    </row>
    <row r="192" spans="1:2" x14ac:dyDescent="0.25">
      <c r="A192" s="42">
        <v>44937</v>
      </c>
      <c r="B192" s="44">
        <f>2420*3</f>
        <v>7260</v>
      </c>
    </row>
    <row r="193" spans="1:2" x14ac:dyDescent="0.25">
      <c r="A193" s="42">
        <v>44951</v>
      </c>
      <c r="B193" s="44">
        <f>10/3</f>
        <v>3.3333333333333335</v>
      </c>
    </row>
    <row r="194" spans="1:2" x14ac:dyDescent="0.25">
      <c r="A194" s="42">
        <v>44993</v>
      </c>
      <c r="B194" s="44">
        <v>1733</v>
      </c>
    </row>
    <row r="195" spans="1:2" x14ac:dyDescent="0.25">
      <c r="A195" s="42">
        <v>45020</v>
      </c>
      <c r="B195" s="44">
        <v>63</v>
      </c>
    </row>
    <row r="196" spans="1:2" x14ac:dyDescent="0.25">
      <c r="A196" s="42">
        <v>45022</v>
      </c>
      <c r="B196" s="44">
        <v>63</v>
      </c>
    </row>
    <row r="197" spans="1:2" x14ac:dyDescent="0.25">
      <c r="A197" s="42">
        <v>45036</v>
      </c>
      <c r="B197" s="44">
        <v>2420</v>
      </c>
    </row>
    <row r="198" spans="1:2" x14ac:dyDescent="0.25">
      <c r="A198" s="45">
        <v>45058</v>
      </c>
      <c r="B198" s="44">
        <v>1986</v>
      </c>
    </row>
    <row r="199" spans="1:2" x14ac:dyDescent="0.25">
      <c r="A199" s="45">
        <v>45063</v>
      </c>
      <c r="B199" s="44">
        <v>1553</v>
      </c>
    </row>
    <row r="200" spans="1:2" x14ac:dyDescent="0.25">
      <c r="A200" s="42">
        <v>45091</v>
      </c>
      <c r="B200" s="44">
        <f>2420*3</f>
        <v>7260</v>
      </c>
    </row>
    <row r="201" spans="1:2" x14ac:dyDescent="0.25">
      <c r="A201" s="42">
        <v>45105</v>
      </c>
      <c r="B201" s="44">
        <v>2420</v>
      </c>
    </row>
    <row r="202" spans="1:2" x14ac:dyDescent="0.25">
      <c r="A202" s="42">
        <v>45119</v>
      </c>
      <c r="B202" s="44">
        <f>3/10</f>
        <v>0.3</v>
      </c>
    </row>
    <row r="203" spans="1:2" x14ac:dyDescent="0.25">
      <c r="A203" s="42">
        <v>45133</v>
      </c>
      <c r="B203" s="44">
        <v>866</v>
      </c>
    </row>
    <row r="204" spans="1:2" x14ac:dyDescent="0.25">
      <c r="A204" s="45">
        <v>45151</v>
      </c>
      <c r="B204" s="44">
        <v>236</v>
      </c>
    </row>
    <row r="205" spans="1:2" x14ac:dyDescent="0.25">
      <c r="A205" s="45">
        <v>45161</v>
      </c>
      <c r="B205" s="44">
        <v>1300</v>
      </c>
    </row>
    <row r="206" spans="1:2" x14ac:dyDescent="0.25">
      <c r="A206" s="45">
        <v>45175</v>
      </c>
      <c r="B206" s="44">
        <v>38</v>
      </c>
    </row>
    <row r="207" spans="1:2" x14ac:dyDescent="0.25">
      <c r="A207" s="45">
        <v>45189</v>
      </c>
      <c r="B207" s="44">
        <v>165</v>
      </c>
    </row>
    <row r="208" spans="1:2" x14ac:dyDescent="0.25">
      <c r="A208" s="45">
        <v>45218</v>
      </c>
      <c r="B208" s="44">
        <v>1414</v>
      </c>
    </row>
    <row r="209" spans="1:2" x14ac:dyDescent="0.25">
      <c r="A209" s="45">
        <v>45231</v>
      </c>
      <c r="B209" s="44">
        <v>37</v>
      </c>
    </row>
    <row r="210" spans="1:2" x14ac:dyDescent="0.25">
      <c r="A210" s="45">
        <v>45235</v>
      </c>
      <c r="B210" s="44">
        <v>32</v>
      </c>
    </row>
    <row r="211" spans="1:2" x14ac:dyDescent="0.25">
      <c r="A211" s="45">
        <v>45259</v>
      </c>
      <c r="B211" s="44">
        <v>1986</v>
      </c>
    </row>
    <row r="212" spans="1:2" x14ac:dyDescent="0.25">
      <c r="A212" s="45">
        <v>45329</v>
      </c>
      <c r="B212" s="44">
        <v>465</v>
      </c>
    </row>
    <row r="213" spans="1:2" x14ac:dyDescent="0.25">
      <c r="A213" s="45">
        <v>45343</v>
      </c>
      <c r="B213" s="44">
        <f>10/3</f>
        <v>3.3333333333333335</v>
      </c>
    </row>
    <row r="214" spans="1:2" x14ac:dyDescent="0.25">
      <c r="A214" s="45">
        <v>45344</v>
      </c>
      <c r="B214" s="44">
        <v>1</v>
      </c>
    </row>
    <row r="215" spans="1:2" x14ac:dyDescent="0.25">
      <c r="A215" s="45">
        <v>45345</v>
      </c>
      <c r="B215" s="44">
        <v>1</v>
      </c>
    </row>
    <row r="216" spans="1:2" x14ac:dyDescent="0.25">
      <c r="A216" s="45">
        <v>45346</v>
      </c>
      <c r="B216" s="44">
        <v>1</v>
      </c>
    </row>
    <row r="217" spans="1:2" x14ac:dyDescent="0.25">
      <c r="A217" s="45">
        <v>45347</v>
      </c>
      <c r="B217" s="44">
        <v>1</v>
      </c>
    </row>
    <row r="218" spans="1:2" x14ac:dyDescent="0.25">
      <c r="A218" s="45">
        <v>45348</v>
      </c>
      <c r="B218" s="44">
        <v>1</v>
      </c>
    </row>
    <row r="219" spans="1:2" x14ac:dyDescent="0.25">
      <c r="A219" s="45">
        <v>45349</v>
      </c>
      <c r="B219" s="44">
        <v>1</v>
      </c>
    </row>
    <row r="220" spans="1:2" x14ac:dyDescent="0.25">
      <c r="A220" s="45">
        <v>45350</v>
      </c>
      <c r="B220" s="44">
        <v>1</v>
      </c>
    </row>
    <row r="221" spans="1:2" x14ac:dyDescent="0.25">
      <c r="A221" s="45">
        <v>45351</v>
      </c>
      <c r="B221" s="44">
        <v>1</v>
      </c>
    </row>
    <row r="222" spans="1:2" x14ac:dyDescent="0.25">
      <c r="A222" s="45">
        <v>45352</v>
      </c>
      <c r="B222" s="44">
        <v>1</v>
      </c>
    </row>
    <row r="223" spans="1:2" x14ac:dyDescent="0.25">
      <c r="A223" s="45">
        <v>45353</v>
      </c>
      <c r="B223" s="44">
        <v>1</v>
      </c>
    </row>
    <row r="224" spans="1:2" x14ac:dyDescent="0.25">
      <c r="A224" s="45">
        <v>45354</v>
      </c>
      <c r="B224" s="44">
        <v>1</v>
      </c>
    </row>
    <row r="225" spans="1:2" x14ac:dyDescent="0.25">
      <c r="A225" s="45">
        <v>45355</v>
      </c>
      <c r="B225" s="44">
        <v>1</v>
      </c>
    </row>
    <row r="226" spans="1:2" x14ac:dyDescent="0.25">
      <c r="A226" s="45">
        <v>45356</v>
      </c>
      <c r="B226" s="44">
        <v>1</v>
      </c>
    </row>
    <row r="227" spans="1:2" x14ac:dyDescent="0.25">
      <c r="A227" s="45">
        <v>45357</v>
      </c>
      <c r="B227" s="44">
        <v>1</v>
      </c>
    </row>
    <row r="228" spans="1:2" x14ac:dyDescent="0.25">
      <c r="A228" s="45">
        <v>45358</v>
      </c>
      <c r="B228" s="44">
        <v>1</v>
      </c>
    </row>
    <row r="229" spans="1:2" x14ac:dyDescent="0.25">
      <c r="A229" s="45">
        <v>45359</v>
      </c>
      <c r="B229" s="44">
        <v>1</v>
      </c>
    </row>
    <row r="230" spans="1:2" x14ac:dyDescent="0.25">
      <c r="A230" s="45">
        <v>45360</v>
      </c>
      <c r="B230" s="44">
        <v>1</v>
      </c>
    </row>
    <row r="231" spans="1:2" x14ac:dyDescent="0.25">
      <c r="A231" s="45">
        <v>45361</v>
      </c>
      <c r="B231" s="44">
        <v>1</v>
      </c>
    </row>
    <row r="232" spans="1:2" x14ac:dyDescent="0.25">
      <c r="A232" s="45">
        <v>45362</v>
      </c>
      <c r="B232" s="44">
        <v>1</v>
      </c>
    </row>
    <row r="233" spans="1:2" x14ac:dyDescent="0.25">
      <c r="A233" s="45">
        <v>45363</v>
      </c>
      <c r="B233" s="44">
        <v>1</v>
      </c>
    </row>
    <row r="234" spans="1:2" x14ac:dyDescent="0.25">
      <c r="A234" s="45">
        <v>45364</v>
      </c>
      <c r="B234" s="44">
        <v>1</v>
      </c>
    </row>
    <row r="235" spans="1:2" x14ac:dyDescent="0.25">
      <c r="A235" s="45">
        <v>45365</v>
      </c>
      <c r="B235" s="44">
        <v>1</v>
      </c>
    </row>
    <row r="236" spans="1:2" x14ac:dyDescent="0.25">
      <c r="A236" s="45">
        <v>45366</v>
      </c>
      <c r="B236" s="44">
        <v>1</v>
      </c>
    </row>
    <row r="237" spans="1:2" x14ac:dyDescent="0.25">
      <c r="A237" s="45">
        <v>45367</v>
      </c>
      <c r="B237" s="44">
        <v>1</v>
      </c>
    </row>
    <row r="238" spans="1:2" x14ac:dyDescent="0.25">
      <c r="A238" s="45">
        <v>45368</v>
      </c>
      <c r="B238" s="44">
        <v>1</v>
      </c>
    </row>
    <row r="239" spans="1:2" x14ac:dyDescent="0.25">
      <c r="A239" s="45">
        <v>45369</v>
      </c>
      <c r="B239" s="44">
        <v>1</v>
      </c>
    </row>
    <row r="240" spans="1:2" x14ac:dyDescent="0.25">
      <c r="A240" s="45">
        <v>45370</v>
      </c>
      <c r="B240" s="44">
        <v>1</v>
      </c>
    </row>
    <row r="241" spans="1:2" x14ac:dyDescent="0.25">
      <c r="A241" s="45">
        <v>45371</v>
      </c>
      <c r="B241" s="44">
        <v>1</v>
      </c>
    </row>
    <row r="242" spans="1:2" x14ac:dyDescent="0.25">
      <c r="A242" s="45">
        <v>45372</v>
      </c>
      <c r="B242" s="44">
        <v>1</v>
      </c>
    </row>
    <row r="243" spans="1:2" x14ac:dyDescent="0.25">
      <c r="A243" s="45">
        <v>45373</v>
      </c>
      <c r="B243" s="44">
        <v>1</v>
      </c>
    </row>
    <row r="244" spans="1:2" x14ac:dyDescent="0.25">
      <c r="A244" s="45">
        <v>45374</v>
      </c>
      <c r="B244" s="44">
        <v>1</v>
      </c>
    </row>
    <row r="245" spans="1:2" x14ac:dyDescent="0.25">
      <c r="A245" s="45">
        <v>45375</v>
      </c>
      <c r="B245" s="44">
        <v>1</v>
      </c>
    </row>
    <row r="246" spans="1:2" x14ac:dyDescent="0.25">
      <c r="A246" s="45">
        <v>45376</v>
      </c>
      <c r="B246" s="44">
        <v>1</v>
      </c>
    </row>
    <row r="247" spans="1:2" x14ac:dyDescent="0.25">
      <c r="A247" s="45">
        <v>45377</v>
      </c>
      <c r="B247" s="44">
        <v>1</v>
      </c>
    </row>
    <row r="248" spans="1:2" x14ac:dyDescent="0.25">
      <c r="A248" s="45">
        <v>45378</v>
      </c>
      <c r="B248" s="44">
        <v>1</v>
      </c>
    </row>
    <row r="249" spans="1:2" x14ac:dyDescent="0.25">
      <c r="A249" s="45">
        <v>45379</v>
      </c>
      <c r="B249" s="44">
        <v>1</v>
      </c>
    </row>
    <row r="250" spans="1:2" x14ac:dyDescent="0.25">
      <c r="A250" s="45">
        <v>45380</v>
      </c>
      <c r="B250" s="44">
        <v>1</v>
      </c>
    </row>
    <row r="251" spans="1:2" x14ac:dyDescent="0.25">
      <c r="A251" s="45">
        <v>45381</v>
      </c>
      <c r="B251" s="44">
        <v>1</v>
      </c>
    </row>
    <row r="252" spans="1:2" x14ac:dyDescent="0.25">
      <c r="A252" s="45">
        <v>45382</v>
      </c>
      <c r="B252" s="44">
        <v>1</v>
      </c>
    </row>
    <row r="253" spans="1:2" x14ac:dyDescent="0.25">
      <c r="A253" s="45">
        <v>45383</v>
      </c>
      <c r="B253" s="44">
        <v>1</v>
      </c>
    </row>
    <row r="254" spans="1:2" x14ac:dyDescent="0.25">
      <c r="A254" s="45">
        <v>45384</v>
      </c>
      <c r="B254" s="44">
        <v>1</v>
      </c>
    </row>
    <row r="255" spans="1:2" x14ac:dyDescent="0.25">
      <c r="A255" s="45">
        <v>45385</v>
      </c>
      <c r="B255" s="44">
        <v>1</v>
      </c>
    </row>
    <row r="256" spans="1:2" x14ac:dyDescent="0.25">
      <c r="A256" s="45">
        <v>45386</v>
      </c>
      <c r="B256" s="44">
        <v>1</v>
      </c>
    </row>
    <row r="257" spans="1:2" x14ac:dyDescent="0.25">
      <c r="A257" s="45">
        <v>45387</v>
      </c>
      <c r="B257" s="44">
        <v>1</v>
      </c>
    </row>
    <row r="258" spans="1:2" x14ac:dyDescent="0.25">
      <c r="A258" s="45">
        <v>45388</v>
      </c>
      <c r="B258" s="44">
        <v>1</v>
      </c>
    </row>
    <row r="259" spans="1:2" x14ac:dyDescent="0.25">
      <c r="A259" s="45">
        <v>45389</v>
      </c>
      <c r="B259" s="44">
        <v>1</v>
      </c>
    </row>
    <row r="260" spans="1:2" x14ac:dyDescent="0.25">
      <c r="A260" s="45">
        <v>45390</v>
      </c>
      <c r="B260" s="44">
        <v>1</v>
      </c>
    </row>
    <row r="261" spans="1:2" x14ac:dyDescent="0.25">
      <c r="A261" s="45">
        <v>45391</v>
      </c>
      <c r="B261" s="44">
        <v>1</v>
      </c>
    </row>
    <row r="262" spans="1:2" x14ac:dyDescent="0.25">
      <c r="A262" s="45">
        <v>45392</v>
      </c>
      <c r="B262" s="44">
        <v>1</v>
      </c>
    </row>
    <row r="263" spans="1:2" x14ac:dyDescent="0.25">
      <c r="A263" s="45">
        <v>45393</v>
      </c>
      <c r="B263" s="44">
        <v>1</v>
      </c>
    </row>
    <row r="264" spans="1:2" x14ac:dyDescent="0.25">
      <c r="A264" s="45">
        <v>45394</v>
      </c>
      <c r="B264" s="44">
        <v>1</v>
      </c>
    </row>
    <row r="265" spans="1:2" x14ac:dyDescent="0.25">
      <c r="A265" s="45">
        <v>45395</v>
      </c>
      <c r="B265" s="44">
        <v>1</v>
      </c>
    </row>
    <row r="266" spans="1:2" x14ac:dyDescent="0.25">
      <c r="A266" s="45">
        <v>45396</v>
      </c>
      <c r="B266" s="44">
        <v>1</v>
      </c>
    </row>
    <row r="267" spans="1:2" x14ac:dyDescent="0.25">
      <c r="A267" s="45">
        <v>45397</v>
      </c>
      <c r="B267" s="44">
        <v>1</v>
      </c>
    </row>
    <row r="268" spans="1:2" x14ac:dyDescent="0.25">
      <c r="A268" s="45">
        <v>45398</v>
      </c>
      <c r="B268" s="44">
        <v>1</v>
      </c>
    </row>
    <row r="269" spans="1:2" x14ac:dyDescent="0.25">
      <c r="A269" s="45">
        <v>45399</v>
      </c>
      <c r="B269" s="44">
        <v>1</v>
      </c>
    </row>
    <row r="270" spans="1:2" x14ac:dyDescent="0.25">
      <c r="A270" s="45">
        <v>45400</v>
      </c>
      <c r="B270" s="44">
        <v>1</v>
      </c>
    </row>
    <row r="271" spans="1:2" x14ac:dyDescent="0.25">
      <c r="A271" s="45">
        <v>45401</v>
      </c>
      <c r="B271" s="44">
        <v>1</v>
      </c>
    </row>
    <row r="272" spans="1:2" x14ac:dyDescent="0.25">
      <c r="A272" s="45">
        <v>45402</v>
      </c>
      <c r="B272" s="44">
        <v>1</v>
      </c>
    </row>
    <row r="273" spans="1:2" x14ac:dyDescent="0.25">
      <c r="A273" s="45">
        <v>45403</v>
      </c>
      <c r="B273" s="44">
        <v>1</v>
      </c>
    </row>
    <row r="274" spans="1:2" x14ac:dyDescent="0.25">
      <c r="A274" s="45">
        <v>45404</v>
      </c>
      <c r="B274" s="44">
        <v>1</v>
      </c>
    </row>
    <row r="275" spans="1:2" x14ac:dyDescent="0.25">
      <c r="A275" s="45">
        <v>45405</v>
      </c>
      <c r="B275" s="44">
        <v>1</v>
      </c>
    </row>
    <row r="276" spans="1:2" x14ac:dyDescent="0.25">
      <c r="A276" s="45">
        <v>45406</v>
      </c>
      <c r="B276" s="44">
        <v>1</v>
      </c>
    </row>
    <row r="277" spans="1:2" x14ac:dyDescent="0.25">
      <c r="A277" s="45">
        <v>45407</v>
      </c>
      <c r="B277" s="44">
        <v>1</v>
      </c>
    </row>
    <row r="278" spans="1:2" x14ac:dyDescent="0.25">
      <c r="A278" s="45">
        <v>45408</v>
      </c>
      <c r="B278" s="44">
        <v>1</v>
      </c>
    </row>
    <row r="279" spans="1:2" x14ac:dyDescent="0.25">
      <c r="A279" s="45">
        <v>45409</v>
      </c>
      <c r="B279" s="44">
        <v>1</v>
      </c>
    </row>
    <row r="280" spans="1:2" x14ac:dyDescent="0.25">
      <c r="A280" s="45">
        <v>45410</v>
      </c>
      <c r="B280" s="44">
        <v>1</v>
      </c>
    </row>
    <row r="281" spans="1:2" x14ac:dyDescent="0.25">
      <c r="A281" s="45">
        <v>45411</v>
      </c>
      <c r="B281" s="44">
        <v>1</v>
      </c>
    </row>
    <row r="282" spans="1:2" x14ac:dyDescent="0.25">
      <c r="A282" s="45">
        <v>45412</v>
      </c>
      <c r="B282" s="44">
        <v>1</v>
      </c>
    </row>
    <row r="283" spans="1:2" x14ac:dyDescent="0.25">
      <c r="A283" s="45">
        <v>45413</v>
      </c>
      <c r="B283" s="44">
        <v>1</v>
      </c>
    </row>
    <row r="284" spans="1:2" x14ac:dyDescent="0.25">
      <c r="A284" s="45">
        <v>45414</v>
      </c>
      <c r="B284" s="44">
        <v>1</v>
      </c>
    </row>
    <row r="285" spans="1:2" x14ac:dyDescent="0.25">
      <c r="A285" s="45">
        <v>45415</v>
      </c>
      <c r="B285" s="44">
        <v>1</v>
      </c>
    </row>
    <row r="286" spans="1:2" x14ac:dyDescent="0.25">
      <c r="A286" s="45">
        <v>45416</v>
      </c>
      <c r="B286" s="44">
        <v>1</v>
      </c>
    </row>
    <row r="287" spans="1:2" x14ac:dyDescent="0.25">
      <c r="A287" s="45">
        <v>45417</v>
      </c>
      <c r="B287" s="44">
        <v>1</v>
      </c>
    </row>
    <row r="288" spans="1:2" x14ac:dyDescent="0.25">
      <c r="A288" s="45">
        <v>45418</v>
      </c>
      <c r="B288" s="44">
        <v>1</v>
      </c>
    </row>
    <row r="289" spans="1:2" x14ac:dyDescent="0.25">
      <c r="A289" s="45">
        <v>45419</v>
      </c>
      <c r="B289" s="44">
        <v>1</v>
      </c>
    </row>
    <row r="290" spans="1:2" x14ac:dyDescent="0.25">
      <c r="A290" s="45">
        <v>45420</v>
      </c>
      <c r="B290" s="44">
        <v>1</v>
      </c>
    </row>
    <row r="291" spans="1:2" x14ac:dyDescent="0.25">
      <c r="A291" s="45">
        <v>45421</v>
      </c>
      <c r="B291" s="44">
        <v>1</v>
      </c>
    </row>
    <row r="292" spans="1:2" x14ac:dyDescent="0.25">
      <c r="A292" s="45">
        <v>45422</v>
      </c>
      <c r="B292" s="44">
        <v>1</v>
      </c>
    </row>
    <row r="293" spans="1:2" x14ac:dyDescent="0.25">
      <c r="A293" s="45">
        <v>45423</v>
      </c>
      <c r="B293" s="44">
        <v>1</v>
      </c>
    </row>
    <row r="294" spans="1:2" x14ac:dyDescent="0.25">
      <c r="A294" s="45">
        <v>45424</v>
      </c>
      <c r="B294" s="44">
        <v>1</v>
      </c>
    </row>
    <row r="295" spans="1:2" x14ac:dyDescent="0.25">
      <c r="A295" s="45">
        <v>45425</v>
      </c>
      <c r="B295" s="44">
        <v>1</v>
      </c>
    </row>
    <row r="296" spans="1:2" x14ac:dyDescent="0.25">
      <c r="A296" s="45">
        <v>45426</v>
      </c>
      <c r="B296" s="44">
        <v>1</v>
      </c>
    </row>
    <row r="297" spans="1:2" x14ac:dyDescent="0.25">
      <c r="A297" s="45">
        <v>45427</v>
      </c>
      <c r="B297" s="44">
        <v>1</v>
      </c>
    </row>
    <row r="298" spans="1:2" x14ac:dyDescent="0.25">
      <c r="A298" s="45">
        <v>45428</v>
      </c>
      <c r="B298" s="44">
        <v>1</v>
      </c>
    </row>
    <row r="299" spans="1:2" x14ac:dyDescent="0.25">
      <c r="A299" s="45">
        <v>45429</v>
      </c>
      <c r="B299" s="44">
        <v>1</v>
      </c>
    </row>
    <row r="300" spans="1:2" x14ac:dyDescent="0.25">
      <c r="A300" s="45">
        <v>45430</v>
      </c>
      <c r="B300" s="44">
        <v>1</v>
      </c>
    </row>
    <row r="301" spans="1:2" x14ac:dyDescent="0.25">
      <c r="A301" s="45">
        <v>45431</v>
      </c>
      <c r="B301" s="44">
        <v>1</v>
      </c>
    </row>
    <row r="302" spans="1:2" x14ac:dyDescent="0.25">
      <c r="A302" s="45">
        <v>45432</v>
      </c>
      <c r="B302" s="44">
        <v>1</v>
      </c>
    </row>
    <row r="303" spans="1:2" x14ac:dyDescent="0.25">
      <c r="A303" s="45">
        <v>45433</v>
      </c>
      <c r="B303" s="44">
        <v>1</v>
      </c>
    </row>
    <row r="304" spans="1:2" x14ac:dyDescent="0.25">
      <c r="A304" s="45">
        <v>45434</v>
      </c>
      <c r="B304" s="44">
        <v>1</v>
      </c>
    </row>
    <row r="305" spans="1:2" x14ac:dyDescent="0.25">
      <c r="A305" s="45">
        <v>45435</v>
      </c>
      <c r="B305" s="44">
        <v>1</v>
      </c>
    </row>
    <row r="306" spans="1:2" x14ac:dyDescent="0.25">
      <c r="A306" s="45">
        <v>45436</v>
      </c>
      <c r="B306" s="44">
        <v>1</v>
      </c>
    </row>
    <row r="307" spans="1:2" x14ac:dyDescent="0.25">
      <c r="A307" s="45">
        <v>45437</v>
      </c>
      <c r="B307" s="44">
        <v>1</v>
      </c>
    </row>
    <row r="308" spans="1:2" x14ac:dyDescent="0.25">
      <c r="A308" s="45">
        <v>45438</v>
      </c>
      <c r="B308" s="44">
        <v>1</v>
      </c>
    </row>
    <row r="309" spans="1:2" x14ac:dyDescent="0.25">
      <c r="A309" s="45">
        <v>45439</v>
      </c>
      <c r="B309" s="44">
        <v>1</v>
      </c>
    </row>
    <row r="310" spans="1:2" x14ac:dyDescent="0.25">
      <c r="A310" s="45">
        <v>45440</v>
      </c>
      <c r="B310" s="44">
        <v>1</v>
      </c>
    </row>
    <row r="311" spans="1:2" x14ac:dyDescent="0.25">
      <c r="A311" s="45">
        <v>45441</v>
      </c>
      <c r="B311" s="44">
        <v>1</v>
      </c>
    </row>
    <row r="312" spans="1:2" x14ac:dyDescent="0.25">
      <c r="A312" s="45">
        <v>45442</v>
      </c>
      <c r="B312" s="44">
        <v>1</v>
      </c>
    </row>
    <row r="313" spans="1:2" x14ac:dyDescent="0.25">
      <c r="A313" s="45">
        <v>45443</v>
      </c>
      <c r="B313" s="44">
        <v>1</v>
      </c>
    </row>
    <row r="314" spans="1:2" x14ac:dyDescent="0.25">
      <c r="A314" s="45">
        <v>45444</v>
      </c>
      <c r="B314" s="44">
        <v>1</v>
      </c>
    </row>
    <row r="315" spans="1:2" x14ac:dyDescent="0.25">
      <c r="A315" s="45">
        <v>45445</v>
      </c>
      <c r="B315" s="44">
        <v>1</v>
      </c>
    </row>
    <row r="316" spans="1:2" x14ac:dyDescent="0.25">
      <c r="A316" s="45">
        <v>45446</v>
      </c>
      <c r="B316" s="44">
        <v>1</v>
      </c>
    </row>
    <row r="317" spans="1:2" x14ac:dyDescent="0.25">
      <c r="A317" s="45">
        <v>45447</v>
      </c>
      <c r="B317" s="44">
        <v>1</v>
      </c>
    </row>
    <row r="318" spans="1:2" x14ac:dyDescent="0.25">
      <c r="A318" s="45">
        <v>45448</v>
      </c>
      <c r="B318" s="44">
        <v>1</v>
      </c>
    </row>
    <row r="319" spans="1:2" x14ac:dyDescent="0.25">
      <c r="A319" s="45">
        <v>45449</v>
      </c>
      <c r="B319" s="44">
        <v>1</v>
      </c>
    </row>
    <row r="320" spans="1:2" x14ac:dyDescent="0.25">
      <c r="A320" s="45">
        <v>45450</v>
      </c>
      <c r="B320" s="44">
        <v>1</v>
      </c>
    </row>
    <row r="321" spans="1:2" x14ac:dyDescent="0.25">
      <c r="A321" s="45">
        <v>45451</v>
      </c>
      <c r="B321" s="44">
        <v>1</v>
      </c>
    </row>
    <row r="322" spans="1:2" x14ac:dyDescent="0.25">
      <c r="A322" s="45">
        <v>45452</v>
      </c>
      <c r="B322" s="44">
        <v>1</v>
      </c>
    </row>
    <row r="323" spans="1:2" x14ac:dyDescent="0.25">
      <c r="A323" s="45">
        <v>45453</v>
      </c>
      <c r="B323" s="44">
        <v>1</v>
      </c>
    </row>
    <row r="324" spans="1:2" x14ac:dyDescent="0.25">
      <c r="A324" s="45">
        <v>45454</v>
      </c>
      <c r="B324" s="44">
        <v>1</v>
      </c>
    </row>
    <row r="325" spans="1:2" x14ac:dyDescent="0.25">
      <c r="A325" s="45">
        <v>45455</v>
      </c>
      <c r="B325" s="44">
        <v>1</v>
      </c>
    </row>
    <row r="326" spans="1:2" x14ac:dyDescent="0.25">
      <c r="A326" s="45">
        <v>45456</v>
      </c>
      <c r="B326" s="44">
        <v>1</v>
      </c>
    </row>
    <row r="327" spans="1:2" x14ac:dyDescent="0.25">
      <c r="A327" s="45">
        <v>45457</v>
      </c>
      <c r="B327" s="44">
        <v>1</v>
      </c>
    </row>
    <row r="328" spans="1:2" x14ac:dyDescent="0.25">
      <c r="A328" s="45">
        <v>45458</v>
      </c>
      <c r="B328" s="44">
        <v>1</v>
      </c>
    </row>
    <row r="329" spans="1:2" x14ac:dyDescent="0.25">
      <c r="A329" s="45">
        <v>45459</v>
      </c>
      <c r="B329" s="44">
        <v>1</v>
      </c>
    </row>
    <row r="330" spans="1:2" x14ac:dyDescent="0.25">
      <c r="A330" s="45">
        <v>45460</v>
      </c>
      <c r="B330" s="44">
        <v>1</v>
      </c>
    </row>
    <row r="331" spans="1:2" x14ac:dyDescent="0.25">
      <c r="A331" s="45">
        <v>45461</v>
      </c>
      <c r="B331" s="44">
        <v>1</v>
      </c>
    </row>
    <row r="332" spans="1:2" x14ac:dyDescent="0.25">
      <c r="A332" s="45">
        <v>45462</v>
      </c>
      <c r="B332" s="44">
        <v>1</v>
      </c>
    </row>
    <row r="333" spans="1:2" x14ac:dyDescent="0.25">
      <c r="A333" s="45">
        <v>45463</v>
      </c>
      <c r="B333" s="44">
        <v>1</v>
      </c>
    </row>
    <row r="334" spans="1:2" x14ac:dyDescent="0.25">
      <c r="A334" s="45">
        <v>45464</v>
      </c>
      <c r="B334" s="44">
        <v>1</v>
      </c>
    </row>
    <row r="335" spans="1:2" x14ac:dyDescent="0.25">
      <c r="A335" s="45">
        <v>45465</v>
      </c>
      <c r="B335" s="44">
        <v>1</v>
      </c>
    </row>
    <row r="336" spans="1:2" x14ac:dyDescent="0.25">
      <c r="A336" s="45">
        <v>45466</v>
      </c>
      <c r="B336" s="44">
        <v>1</v>
      </c>
    </row>
    <row r="337" spans="1:2" x14ac:dyDescent="0.25">
      <c r="A337" s="45">
        <v>45467</v>
      </c>
      <c r="B337" s="44">
        <v>1</v>
      </c>
    </row>
    <row r="338" spans="1:2" x14ac:dyDescent="0.25">
      <c r="A338" s="45">
        <v>45468</v>
      </c>
      <c r="B338" s="44">
        <v>1</v>
      </c>
    </row>
    <row r="339" spans="1:2" x14ac:dyDescent="0.25">
      <c r="A339" s="45">
        <v>45469</v>
      </c>
      <c r="B339" s="44">
        <v>1</v>
      </c>
    </row>
    <row r="340" spans="1:2" x14ac:dyDescent="0.25">
      <c r="A340" s="45">
        <v>45470</v>
      </c>
      <c r="B340" s="44">
        <v>1</v>
      </c>
    </row>
    <row r="341" spans="1:2" x14ac:dyDescent="0.25">
      <c r="A341" s="45">
        <v>45471</v>
      </c>
      <c r="B341" s="44">
        <v>1</v>
      </c>
    </row>
    <row r="342" spans="1:2" x14ac:dyDescent="0.25">
      <c r="A342" s="45">
        <v>45472</v>
      </c>
      <c r="B342" s="44">
        <v>1</v>
      </c>
    </row>
    <row r="343" spans="1:2" x14ac:dyDescent="0.25">
      <c r="A343" s="45">
        <v>45473</v>
      </c>
      <c r="B343" s="44">
        <v>1</v>
      </c>
    </row>
    <row r="344" spans="1:2" x14ac:dyDescent="0.25">
      <c r="A344" s="45">
        <v>45474</v>
      </c>
      <c r="B344" s="44">
        <v>1</v>
      </c>
    </row>
    <row r="345" spans="1:2" x14ac:dyDescent="0.25">
      <c r="A345" s="45">
        <v>45475</v>
      </c>
      <c r="B345" s="44">
        <v>1</v>
      </c>
    </row>
    <row r="346" spans="1:2" x14ac:dyDescent="0.25">
      <c r="A346" s="45">
        <v>45476</v>
      </c>
      <c r="B346" s="44">
        <v>1</v>
      </c>
    </row>
    <row r="347" spans="1:2" x14ac:dyDescent="0.25">
      <c r="A347" s="45">
        <v>45477</v>
      </c>
      <c r="B347" s="44">
        <v>1</v>
      </c>
    </row>
    <row r="348" spans="1:2" x14ac:dyDescent="0.25">
      <c r="A348" s="45">
        <v>45478</v>
      </c>
      <c r="B348" s="44">
        <v>1</v>
      </c>
    </row>
    <row r="349" spans="1:2" x14ac:dyDescent="0.25">
      <c r="A349" s="45">
        <v>45479</v>
      </c>
      <c r="B349" s="44">
        <v>1</v>
      </c>
    </row>
    <row r="350" spans="1:2" x14ac:dyDescent="0.25">
      <c r="A350" s="45">
        <v>45480</v>
      </c>
      <c r="B350" s="44">
        <v>1</v>
      </c>
    </row>
    <row r="351" spans="1:2" x14ac:dyDescent="0.25">
      <c r="A351" s="45">
        <v>45481</v>
      </c>
      <c r="B351" s="44">
        <v>1</v>
      </c>
    </row>
    <row r="352" spans="1:2" x14ac:dyDescent="0.25">
      <c r="A352" s="45">
        <v>45482</v>
      </c>
      <c r="B352" s="44">
        <v>1</v>
      </c>
    </row>
    <row r="353" spans="1:2" x14ac:dyDescent="0.25">
      <c r="A353" s="45">
        <v>45483</v>
      </c>
      <c r="B353" s="44">
        <v>1</v>
      </c>
    </row>
    <row r="354" spans="1:2" x14ac:dyDescent="0.25">
      <c r="A354" s="45">
        <v>45484</v>
      </c>
      <c r="B354" s="44">
        <v>1</v>
      </c>
    </row>
    <row r="355" spans="1:2" x14ac:dyDescent="0.25">
      <c r="A355" s="45">
        <v>45485</v>
      </c>
      <c r="B355" s="44">
        <v>1</v>
      </c>
    </row>
    <row r="356" spans="1:2" x14ac:dyDescent="0.25">
      <c r="A356" s="45">
        <v>45486</v>
      </c>
      <c r="B356" s="44">
        <v>1</v>
      </c>
    </row>
    <row r="357" spans="1:2" x14ac:dyDescent="0.25">
      <c r="A357" s="45">
        <v>45487</v>
      </c>
      <c r="B357" s="44">
        <v>1</v>
      </c>
    </row>
    <row r="358" spans="1:2" x14ac:dyDescent="0.25">
      <c r="A358" s="45">
        <v>45488</v>
      </c>
      <c r="B358" s="44">
        <v>1</v>
      </c>
    </row>
    <row r="359" spans="1:2" x14ac:dyDescent="0.25">
      <c r="A359" s="45">
        <v>45489</v>
      </c>
      <c r="B359" s="44">
        <v>1</v>
      </c>
    </row>
    <row r="360" spans="1:2" x14ac:dyDescent="0.25">
      <c r="A360" s="45">
        <v>45490</v>
      </c>
      <c r="B360" s="44">
        <v>1</v>
      </c>
    </row>
    <row r="361" spans="1:2" x14ac:dyDescent="0.25">
      <c r="A361" s="45">
        <v>45491</v>
      </c>
      <c r="B361" s="44">
        <v>1</v>
      </c>
    </row>
    <row r="362" spans="1:2" x14ac:dyDescent="0.25">
      <c r="A362" s="45">
        <v>45492</v>
      </c>
      <c r="B362" s="44">
        <v>1</v>
      </c>
    </row>
    <row r="363" spans="1:2" x14ac:dyDescent="0.25">
      <c r="A363" s="45">
        <v>45493</v>
      </c>
      <c r="B363" s="44">
        <v>1</v>
      </c>
    </row>
    <row r="364" spans="1:2" x14ac:dyDescent="0.25">
      <c r="A364" s="45">
        <v>45494</v>
      </c>
      <c r="B364" s="44">
        <v>1</v>
      </c>
    </row>
    <row r="365" spans="1:2" x14ac:dyDescent="0.25">
      <c r="A365" s="45">
        <v>45495</v>
      </c>
      <c r="B365" s="44">
        <v>1</v>
      </c>
    </row>
    <row r="366" spans="1:2" x14ac:dyDescent="0.25">
      <c r="A366" s="45">
        <v>45496</v>
      </c>
      <c r="B366" s="44">
        <v>1</v>
      </c>
    </row>
    <row r="367" spans="1:2" x14ac:dyDescent="0.25">
      <c r="A367" s="45">
        <v>45497</v>
      </c>
      <c r="B367" s="44">
        <v>1</v>
      </c>
    </row>
    <row r="368" spans="1:2" x14ac:dyDescent="0.25">
      <c r="A368" s="45">
        <v>45498</v>
      </c>
      <c r="B368" s="44">
        <v>1</v>
      </c>
    </row>
    <row r="369" spans="1:2" x14ac:dyDescent="0.25">
      <c r="A369" s="45">
        <v>45499</v>
      </c>
      <c r="B369" s="44">
        <v>1</v>
      </c>
    </row>
    <row r="370" spans="1:2" x14ac:dyDescent="0.25">
      <c r="A370" s="45">
        <v>45500</v>
      </c>
      <c r="B370" s="44">
        <v>1</v>
      </c>
    </row>
    <row r="371" spans="1:2" x14ac:dyDescent="0.25">
      <c r="A371" s="45">
        <v>45501</v>
      </c>
      <c r="B371" s="44">
        <v>1</v>
      </c>
    </row>
    <row r="372" spans="1:2" x14ac:dyDescent="0.25">
      <c r="A372" s="45">
        <v>45502</v>
      </c>
      <c r="B372" s="44">
        <v>1</v>
      </c>
    </row>
    <row r="373" spans="1:2" x14ac:dyDescent="0.25">
      <c r="A373" s="45">
        <v>45503</v>
      </c>
      <c r="B373" s="44">
        <v>1</v>
      </c>
    </row>
    <row r="374" spans="1:2" x14ac:dyDescent="0.25">
      <c r="A374" s="45">
        <v>45504</v>
      </c>
      <c r="B374" s="44">
        <v>1</v>
      </c>
    </row>
    <row r="375" spans="1:2" x14ac:dyDescent="0.25">
      <c r="A375" s="45">
        <v>45505</v>
      </c>
      <c r="B375" s="44">
        <v>1</v>
      </c>
    </row>
    <row r="376" spans="1:2" x14ac:dyDescent="0.25">
      <c r="A376" s="45">
        <v>45506</v>
      </c>
      <c r="B376" s="44">
        <v>1</v>
      </c>
    </row>
    <row r="377" spans="1:2" x14ac:dyDescent="0.25">
      <c r="A377" s="45">
        <v>45507</v>
      </c>
      <c r="B377" s="44">
        <v>1</v>
      </c>
    </row>
    <row r="378" spans="1:2" x14ac:dyDescent="0.25">
      <c r="A378" s="45">
        <v>45508</v>
      </c>
      <c r="B378" s="44">
        <v>1</v>
      </c>
    </row>
    <row r="379" spans="1:2" x14ac:dyDescent="0.25">
      <c r="A379" s="45">
        <v>45509</v>
      </c>
      <c r="B379" s="44">
        <v>1</v>
      </c>
    </row>
    <row r="380" spans="1:2" x14ac:dyDescent="0.25">
      <c r="A380" s="45">
        <v>45510</v>
      </c>
      <c r="B380" s="44">
        <v>1</v>
      </c>
    </row>
    <row r="381" spans="1:2" x14ac:dyDescent="0.25">
      <c r="A381" s="45">
        <v>45511</v>
      </c>
      <c r="B381" s="44">
        <v>1</v>
      </c>
    </row>
    <row r="382" spans="1:2" x14ac:dyDescent="0.25">
      <c r="A382" s="45">
        <v>45511</v>
      </c>
      <c r="B382" s="44">
        <f>10/3</f>
        <v>3.3333333333333335</v>
      </c>
    </row>
    <row r="383" spans="1:2" x14ac:dyDescent="0.25">
      <c r="A383" s="45">
        <v>45512</v>
      </c>
      <c r="B383" s="44">
        <v>1</v>
      </c>
    </row>
    <row r="384" spans="1:2" x14ac:dyDescent="0.25">
      <c r="A384" s="45">
        <v>45513</v>
      </c>
      <c r="B384" s="44">
        <v>1</v>
      </c>
    </row>
    <row r="385" spans="1:2" x14ac:dyDescent="0.25">
      <c r="A385" s="45">
        <v>45514</v>
      </c>
      <c r="B385" s="44">
        <v>1</v>
      </c>
    </row>
    <row r="386" spans="1:2" x14ac:dyDescent="0.25">
      <c r="A386" s="45">
        <v>45515</v>
      </c>
      <c r="B386" s="44">
        <v>1</v>
      </c>
    </row>
    <row r="387" spans="1:2" x14ac:dyDescent="0.25">
      <c r="A387" s="45">
        <v>45516</v>
      </c>
      <c r="B387" s="44">
        <v>1</v>
      </c>
    </row>
    <row r="388" spans="1:2" x14ac:dyDescent="0.25">
      <c r="A388" s="45">
        <v>45517</v>
      </c>
      <c r="B388" s="44">
        <v>1</v>
      </c>
    </row>
    <row r="389" spans="1:2" x14ac:dyDescent="0.25">
      <c r="A389" s="45">
        <v>45518</v>
      </c>
      <c r="B389" s="44">
        <v>1</v>
      </c>
    </row>
    <row r="390" spans="1:2" x14ac:dyDescent="0.25">
      <c r="A390" s="45">
        <v>45519</v>
      </c>
      <c r="B390" s="44">
        <v>1</v>
      </c>
    </row>
    <row r="391" spans="1:2" x14ac:dyDescent="0.25">
      <c r="A391" s="45">
        <v>45520</v>
      </c>
      <c r="B391" s="44">
        <v>1</v>
      </c>
    </row>
    <row r="392" spans="1:2" x14ac:dyDescent="0.25">
      <c r="A392" s="45">
        <v>45521</v>
      </c>
      <c r="B392" s="44">
        <v>1</v>
      </c>
    </row>
    <row r="393" spans="1:2" x14ac:dyDescent="0.25">
      <c r="A393" s="45">
        <v>45522</v>
      </c>
      <c r="B393" s="44">
        <v>1</v>
      </c>
    </row>
    <row r="394" spans="1:2" x14ac:dyDescent="0.25">
      <c r="A394" s="45">
        <v>45523</v>
      </c>
      <c r="B394" s="44">
        <v>1</v>
      </c>
    </row>
    <row r="395" spans="1:2" x14ac:dyDescent="0.25">
      <c r="A395" s="45">
        <v>45524</v>
      </c>
      <c r="B395" s="44">
        <v>1</v>
      </c>
    </row>
    <row r="396" spans="1:2" x14ac:dyDescent="0.25">
      <c r="A396" s="45">
        <v>45525</v>
      </c>
      <c r="B396" s="44">
        <v>1</v>
      </c>
    </row>
    <row r="397" spans="1:2" x14ac:dyDescent="0.25">
      <c r="A397" s="45">
        <v>45526</v>
      </c>
      <c r="B397" s="44">
        <v>1</v>
      </c>
    </row>
    <row r="398" spans="1:2" x14ac:dyDescent="0.25">
      <c r="A398" s="45">
        <v>45527</v>
      </c>
      <c r="B398" s="44">
        <v>1</v>
      </c>
    </row>
    <row r="399" spans="1:2" x14ac:dyDescent="0.25">
      <c r="A399" s="45">
        <v>45528</v>
      </c>
      <c r="B399" s="44">
        <v>1</v>
      </c>
    </row>
    <row r="400" spans="1:2" x14ac:dyDescent="0.25">
      <c r="A400" s="45">
        <v>45529</v>
      </c>
      <c r="B400" s="44">
        <v>1</v>
      </c>
    </row>
    <row r="401" spans="1:2" x14ac:dyDescent="0.25">
      <c r="A401" s="45">
        <v>45530</v>
      </c>
      <c r="B401" s="44">
        <v>1</v>
      </c>
    </row>
    <row r="402" spans="1:2" x14ac:dyDescent="0.25">
      <c r="A402" s="45">
        <v>45531</v>
      </c>
      <c r="B402" s="44">
        <v>1</v>
      </c>
    </row>
    <row r="403" spans="1:2" x14ac:dyDescent="0.25">
      <c r="A403" s="45">
        <v>45532</v>
      </c>
      <c r="B403" s="44">
        <v>1</v>
      </c>
    </row>
    <row r="404" spans="1:2" x14ac:dyDescent="0.25">
      <c r="A404" s="45">
        <v>45533</v>
      </c>
      <c r="B404" s="44">
        <v>1</v>
      </c>
    </row>
    <row r="405" spans="1:2" x14ac:dyDescent="0.25">
      <c r="A405" s="45">
        <v>45534</v>
      </c>
      <c r="B405" s="44">
        <v>1</v>
      </c>
    </row>
    <row r="406" spans="1:2" x14ac:dyDescent="0.25">
      <c r="A406" s="45">
        <v>45535</v>
      </c>
      <c r="B406" s="44">
        <v>1</v>
      </c>
    </row>
    <row r="407" spans="1:2" x14ac:dyDescent="0.25">
      <c r="A407" s="45">
        <v>45536</v>
      </c>
      <c r="B407" s="44">
        <v>1</v>
      </c>
    </row>
    <row r="408" spans="1:2" x14ac:dyDescent="0.25">
      <c r="A408" s="45">
        <v>45537</v>
      </c>
      <c r="B408" s="44">
        <v>1</v>
      </c>
    </row>
    <row r="409" spans="1:2" x14ac:dyDescent="0.25">
      <c r="A409" s="45">
        <v>45538</v>
      </c>
      <c r="B409" s="44">
        <v>1</v>
      </c>
    </row>
    <row r="410" spans="1:2" x14ac:dyDescent="0.25">
      <c r="A410" s="45">
        <v>45539</v>
      </c>
      <c r="B410" s="44">
        <v>1</v>
      </c>
    </row>
    <row r="411" spans="1:2" x14ac:dyDescent="0.25">
      <c r="A411" s="45">
        <v>45540</v>
      </c>
      <c r="B411" s="44">
        <v>1</v>
      </c>
    </row>
    <row r="412" spans="1:2" x14ac:dyDescent="0.25">
      <c r="A412" s="45">
        <v>45541</v>
      </c>
      <c r="B412" s="44">
        <v>1</v>
      </c>
    </row>
    <row r="413" spans="1:2" x14ac:dyDescent="0.25">
      <c r="A413" s="45">
        <v>45542</v>
      </c>
      <c r="B413" s="44">
        <v>1</v>
      </c>
    </row>
    <row r="414" spans="1:2" x14ac:dyDescent="0.25">
      <c r="A414" s="45">
        <v>45543</v>
      </c>
      <c r="B414" s="44">
        <v>1</v>
      </c>
    </row>
    <row r="415" spans="1:2" x14ac:dyDescent="0.25">
      <c r="A415" s="45">
        <v>45544</v>
      </c>
      <c r="B415" s="44">
        <v>1</v>
      </c>
    </row>
    <row r="416" spans="1:2" x14ac:dyDescent="0.25">
      <c r="A416" s="45">
        <v>45545</v>
      </c>
      <c r="B416" s="44">
        <v>1</v>
      </c>
    </row>
    <row r="417" spans="1:2" x14ac:dyDescent="0.25">
      <c r="A417" s="45">
        <v>45546</v>
      </c>
      <c r="B417" s="44">
        <v>1</v>
      </c>
    </row>
    <row r="418" spans="1:2" x14ac:dyDescent="0.25">
      <c r="A418" s="45">
        <v>45547</v>
      </c>
      <c r="B418" s="44">
        <v>1</v>
      </c>
    </row>
    <row r="419" spans="1:2" x14ac:dyDescent="0.25">
      <c r="A419" s="45">
        <v>45548</v>
      </c>
      <c r="B419" s="44">
        <v>1</v>
      </c>
    </row>
    <row r="420" spans="1:2" x14ac:dyDescent="0.25">
      <c r="A420" s="45">
        <v>45549</v>
      </c>
      <c r="B420" s="44">
        <v>1</v>
      </c>
    </row>
    <row r="421" spans="1:2" x14ac:dyDescent="0.25">
      <c r="A421" s="45">
        <v>45550</v>
      </c>
      <c r="B421" s="44">
        <v>1</v>
      </c>
    </row>
    <row r="422" spans="1:2" x14ac:dyDescent="0.25">
      <c r="A422" s="45">
        <v>45551</v>
      </c>
      <c r="B422" s="44">
        <v>1</v>
      </c>
    </row>
    <row r="423" spans="1:2" x14ac:dyDescent="0.25">
      <c r="A423" s="45">
        <v>45552</v>
      </c>
      <c r="B423" s="44">
        <v>1</v>
      </c>
    </row>
    <row r="424" spans="1:2" x14ac:dyDescent="0.25">
      <c r="A424" s="45">
        <v>45553</v>
      </c>
      <c r="B424" s="44">
        <v>1</v>
      </c>
    </row>
    <row r="425" spans="1:2" x14ac:dyDescent="0.25">
      <c r="A425" s="45">
        <v>45554</v>
      </c>
      <c r="B425" s="44">
        <v>1</v>
      </c>
    </row>
    <row r="426" spans="1:2" x14ac:dyDescent="0.25">
      <c r="A426" s="45">
        <v>45555</v>
      </c>
      <c r="B426" s="44">
        <v>1</v>
      </c>
    </row>
    <row r="427" spans="1:2" x14ac:dyDescent="0.25">
      <c r="A427" s="45">
        <v>45556</v>
      </c>
      <c r="B427" s="44">
        <v>1</v>
      </c>
    </row>
    <row r="428" spans="1:2" x14ac:dyDescent="0.25">
      <c r="A428" s="45">
        <v>45557</v>
      </c>
      <c r="B428" s="44">
        <v>1</v>
      </c>
    </row>
    <row r="429" spans="1:2" x14ac:dyDescent="0.25">
      <c r="A429" s="45">
        <v>45558</v>
      </c>
      <c r="B429" s="44">
        <v>1</v>
      </c>
    </row>
    <row r="430" spans="1:2" x14ac:dyDescent="0.25">
      <c r="A430" s="45">
        <v>45559</v>
      </c>
      <c r="B430" s="44">
        <v>1</v>
      </c>
    </row>
    <row r="431" spans="1:2" x14ac:dyDescent="0.25">
      <c r="A431" s="45">
        <v>45560</v>
      </c>
      <c r="B431" s="44">
        <v>1</v>
      </c>
    </row>
    <row r="432" spans="1:2" x14ac:dyDescent="0.25">
      <c r="A432" s="45">
        <v>45561</v>
      </c>
      <c r="B432" s="44">
        <v>1</v>
      </c>
    </row>
    <row r="433" spans="1:2" x14ac:dyDescent="0.25">
      <c r="A433" s="45">
        <v>45562</v>
      </c>
      <c r="B433" s="44">
        <v>1</v>
      </c>
    </row>
    <row r="434" spans="1:2" x14ac:dyDescent="0.25">
      <c r="A434" s="45">
        <v>45563</v>
      </c>
      <c r="B434" s="44">
        <v>1</v>
      </c>
    </row>
    <row r="435" spans="1:2" x14ac:dyDescent="0.25">
      <c r="A435" s="45">
        <v>45564</v>
      </c>
      <c r="B435" s="44">
        <v>1</v>
      </c>
    </row>
    <row r="436" spans="1:2" x14ac:dyDescent="0.25">
      <c r="A436" s="45">
        <v>45565</v>
      </c>
      <c r="B436" s="44">
        <v>1</v>
      </c>
    </row>
    <row r="437" spans="1:2" x14ac:dyDescent="0.25">
      <c r="A437" s="45">
        <v>45566</v>
      </c>
      <c r="B437" s="44">
        <v>1</v>
      </c>
    </row>
    <row r="438" spans="1:2" x14ac:dyDescent="0.25">
      <c r="A438" s="45">
        <v>45567</v>
      </c>
      <c r="B438" s="44">
        <v>1</v>
      </c>
    </row>
    <row r="439" spans="1:2" x14ac:dyDescent="0.25">
      <c r="A439" s="45">
        <v>45568</v>
      </c>
      <c r="B439" s="44">
        <v>1</v>
      </c>
    </row>
    <row r="440" spans="1:2" x14ac:dyDescent="0.25">
      <c r="A440" s="45">
        <v>45569</v>
      </c>
      <c r="B440" s="44">
        <v>1</v>
      </c>
    </row>
    <row r="441" spans="1:2" x14ac:dyDescent="0.25">
      <c r="A441" s="45">
        <v>45570</v>
      </c>
      <c r="B441" s="44">
        <v>1</v>
      </c>
    </row>
    <row r="442" spans="1:2" x14ac:dyDescent="0.25">
      <c r="A442" s="45">
        <v>45571</v>
      </c>
      <c r="B442" s="44">
        <v>1</v>
      </c>
    </row>
    <row r="443" spans="1:2" x14ac:dyDescent="0.25">
      <c r="A443" s="45">
        <v>45572</v>
      </c>
      <c r="B443" s="44">
        <v>1</v>
      </c>
    </row>
    <row r="444" spans="1:2" x14ac:dyDescent="0.25">
      <c r="A444" s="45">
        <v>45573</v>
      </c>
      <c r="B444" s="44">
        <v>1</v>
      </c>
    </row>
    <row r="445" spans="1:2" x14ac:dyDescent="0.25">
      <c r="A445" s="45">
        <v>45574</v>
      </c>
      <c r="B445" s="44">
        <v>1</v>
      </c>
    </row>
    <row r="446" spans="1:2" x14ac:dyDescent="0.25">
      <c r="A446" s="45">
        <v>45575</v>
      </c>
      <c r="B446" s="44">
        <v>1</v>
      </c>
    </row>
    <row r="447" spans="1:2" x14ac:dyDescent="0.25">
      <c r="A447" s="45">
        <v>45576</v>
      </c>
      <c r="B447" s="44">
        <v>1</v>
      </c>
    </row>
    <row r="448" spans="1:2" x14ac:dyDescent="0.25">
      <c r="A448" s="45">
        <v>45577</v>
      </c>
      <c r="B448" s="44">
        <v>1</v>
      </c>
    </row>
    <row r="449" spans="1:2" x14ac:dyDescent="0.25">
      <c r="A449" s="45">
        <v>45578</v>
      </c>
      <c r="B449" s="44">
        <v>1</v>
      </c>
    </row>
    <row r="450" spans="1:2" x14ac:dyDescent="0.25">
      <c r="A450" s="45">
        <v>45579</v>
      </c>
      <c r="B450" s="44">
        <v>1</v>
      </c>
    </row>
    <row r="451" spans="1:2" x14ac:dyDescent="0.25">
      <c r="A451" s="45">
        <v>45580</v>
      </c>
      <c r="B451" s="44">
        <v>1</v>
      </c>
    </row>
    <row r="452" spans="1:2" x14ac:dyDescent="0.25">
      <c r="A452" s="45">
        <v>45581</v>
      </c>
      <c r="B452" s="44">
        <v>1</v>
      </c>
    </row>
    <row r="453" spans="1:2" x14ac:dyDescent="0.25">
      <c r="A453" s="45">
        <v>45582</v>
      </c>
      <c r="B453" s="44">
        <v>1</v>
      </c>
    </row>
    <row r="454" spans="1:2" x14ac:dyDescent="0.25">
      <c r="A454" s="45">
        <v>45583</v>
      </c>
      <c r="B454" s="44">
        <v>1</v>
      </c>
    </row>
    <row r="455" spans="1:2" x14ac:dyDescent="0.25">
      <c r="A455" s="45">
        <v>45584</v>
      </c>
      <c r="B455" s="44">
        <v>1</v>
      </c>
    </row>
    <row r="456" spans="1:2" x14ac:dyDescent="0.25">
      <c r="A456" s="45">
        <v>45585</v>
      </c>
      <c r="B456" s="44">
        <v>1</v>
      </c>
    </row>
    <row r="457" spans="1:2" x14ac:dyDescent="0.25">
      <c r="A457" s="45">
        <v>45586</v>
      </c>
      <c r="B457" s="44">
        <v>1</v>
      </c>
    </row>
    <row r="458" spans="1:2" x14ac:dyDescent="0.25">
      <c r="A458" s="45">
        <v>45587</v>
      </c>
      <c r="B458" s="44">
        <v>1</v>
      </c>
    </row>
    <row r="459" spans="1:2" x14ac:dyDescent="0.25">
      <c r="A459" s="45">
        <v>45588</v>
      </c>
      <c r="B459" s="44">
        <v>1</v>
      </c>
    </row>
    <row r="460" spans="1:2" x14ac:dyDescent="0.25">
      <c r="A460" s="45">
        <v>45589</v>
      </c>
      <c r="B460" s="44">
        <v>1</v>
      </c>
    </row>
    <row r="461" spans="1:2" x14ac:dyDescent="0.25">
      <c r="A461" s="45">
        <v>45590</v>
      </c>
      <c r="B461" s="44">
        <v>1</v>
      </c>
    </row>
    <row r="462" spans="1:2" x14ac:dyDescent="0.25">
      <c r="A462" s="45">
        <v>45591</v>
      </c>
      <c r="B462" s="44">
        <v>1</v>
      </c>
    </row>
    <row r="463" spans="1:2" x14ac:dyDescent="0.25">
      <c r="A463" s="45">
        <v>45592</v>
      </c>
      <c r="B463" s="44">
        <v>1</v>
      </c>
    </row>
    <row r="464" spans="1:2" x14ac:dyDescent="0.25">
      <c r="A464" s="45">
        <v>45593</v>
      </c>
      <c r="B464" s="44">
        <v>1</v>
      </c>
    </row>
    <row r="465" spans="1:2" x14ac:dyDescent="0.25">
      <c r="A465" s="45">
        <v>45594</v>
      </c>
      <c r="B465" s="44">
        <v>1</v>
      </c>
    </row>
    <row r="466" spans="1:2" x14ac:dyDescent="0.25">
      <c r="A466" s="45">
        <v>45595</v>
      </c>
      <c r="B466" s="44">
        <v>1</v>
      </c>
    </row>
    <row r="467" spans="1:2" x14ac:dyDescent="0.25">
      <c r="A467" s="45">
        <v>45596</v>
      </c>
      <c r="B467" s="44">
        <v>1</v>
      </c>
    </row>
    <row r="468" spans="1:2" x14ac:dyDescent="0.25">
      <c r="A468" s="45">
        <v>45597</v>
      </c>
      <c r="B468" s="44">
        <v>1</v>
      </c>
    </row>
    <row r="469" spans="1:2" x14ac:dyDescent="0.25">
      <c r="A469" s="45">
        <v>45598</v>
      </c>
      <c r="B469" s="44">
        <v>1</v>
      </c>
    </row>
    <row r="470" spans="1:2" x14ac:dyDescent="0.25">
      <c r="A470" s="45">
        <v>45599</v>
      </c>
      <c r="B470" s="44">
        <v>1</v>
      </c>
    </row>
    <row r="471" spans="1:2" x14ac:dyDescent="0.25">
      <c r="A471" s="45">
        <v>45600</v>
      </c>
      <c r="B471" s="44">
        <v>1</v>
      </c>
    </row>
    <row r="472" spans="1:2" x14ac:dyDescent="0.25">
      <c r="A472" s="45">
        <v>45601</v>
      </c>
      <c r="B472" s="44">
        <v>1</v>
      </c>
    </row>
    <row r="473" spans="1:2" x14ac:dyDescent="0.25">
      <c r="A473" s="45">
        <v>45602</v>
      </c>
      <c r="B473" s="44">
        <v>1</v>
      </c>
    </row>
    <row r="474" spans="1:2" x14ac:dyDescent="0.25">
      <c r="A474" s="45">
        <v>45603</v>
      </c>
      <c r="B474" s="44">
        <v>1</v>
      </c>
    </row>
    <row r="475" spans="1:2" x14ac:dyDescent="0.25">
      <c r="A475" s="45">
        <v>45604</v>
      </c>
      <c r="B475" s="44">
        <v>1</v>
      </c>
    </row>
    <row r="476" spans="1:2" x14ac:dyDescent="0.25">
      <c r="A476" s="45">
        <v>45605</v>
      </c>
      <c r="B476" s="44">
        <v>1</v>
      </c>
    </row>
    <row r="477" spans="1:2" x14ac:dyDescent="0.25">
      <c r="A477" s="45">
        <v>45606</v>
      </c>
      <c r="B477" s="44">
        <v>1</v>
      </c>
    </row>
    <row r="478" spans="1:2" x14ac:dyDescent="0.25">
      <c r="A478" s="45">
        <v>45607</v>
      </c>
      <c r="B478" s="44">
        <v>1</v>
      </c>
    </row>
    <row r="479" spans="1:2" x14ac:dyDescent="0.25">
      <c r="A479" s="45">
        <v>45608</v>
      </c>
      <c r="B479" s="44">
        <v>1</v>
      </c>
    </row>
    <row r="480" spans="1:2" x14ac:dyDescent="0.25">
      <c r="A480" s="45">
        <v>45609</v>
      </c>
      <c r="B480" s="44">
        <v>1</v>
      </c>
    </row>
    <row r="481" spans="1:2" x14ac:dyDescent="0.25">
      <c r="A481" s="45">
        <v>45610</v>
      </c>
      <c r="B481" s="44">
        <v>1</v>
      </c>
    </row>
    <row r="482" spans="1:2" x14ac:dyDescent="0.25">
      <c r="A482" s="45">
        <v>45611</v>
      </c>
      <c r="B482" s="44">
        <v>1</v>
      </c>
    </row>
    <row r="483" spans="1:2" x14ac:dyDescent="0.25">
      <c r="A483" s="45">
        <v>45612</v>
      </c>
      <c r="B483" s="44">
        <v>1</v>
      </c>
    </row>
    <row r="484" spans="1:2" x14ac:dyDescent="0.25">
      <c r="A484" s="45">
        <v>45613</v>
      </c>
      <c r="B484" s="44">
        <v>1</v>
      </c>
    </row>
    <row r="485" spans="1:2" x14ac:dyDescent="0.25">
      <c r="A485" s="45">
        <v>45614</v>
      </c>
      <c r="B485" s="44">
        <v>1</v>
      </c>
    </row>
    <row r="486" spans="1:2" x14ac:dyDescent="0.25">
      <c r="A486" s="45">
        <v>45615</v>
      </c>
      <c r="B486" s="44">
        <v>1</v>
      </c>
    </row>
    <row r="487" spans="1:2" x14ac:dyDescent="0.25">
      <c r="A487" s="45">
        <v>45616</v>
      </c>
      <c r="B487" s="44">
        <v>1</v>
      </c>
    </row>
    <row r="488" spans="1:2" x14ac:dyDescent="0.25">
      <c r="A488" s="45">
        <v>45617</v>
      </c>
      <c r="B488" s="44">
        <v>1</v>
      </c>
    </row>
    <row r="489" spans="1:2" x14ac:dyDescent="0.25">
      <c r="A489" s="45">
        <v>45618</v>
      </c>
      <c r="B489" s="44">
        <v>1</v>
      </c>
    </row>
    <row r="490" spans="1:2" x14ac:dyDescent="0.25">
      <c r="A490" s="45">
        <v>45619</v>
      </c>
      <c r="B490" s="44">
        <v>1</v>
      </c>
    </row>
    <row r="491" spans="1:2" x14ac:dyDescent="0.25">
      <c r="A491" s="45">
        <v>45620</v>
      </c>
      <c r="B491" s="44">
        <v>1</v>
      </c>
    </row>
    <row r="492" spans="1:2" x14ac:dyDescent="0.25">
      <c r="A492" s="45">
        <v>45621</v>
      </c>
      <c r="B492" s="44">
        <v>1</v>
      </c>
    </row>
    <row r="493" spans="1:2" x14ac:dyDescent="0.25">
      <c r="A493" s="45">
        <v>45622</v>
      </c>
      <c r="B493" s="44">
        <v>1</v>
      </c>
    </row>
    <row r="494" spans="1:2" x14ac:dyDescent="0.25">
      <c r="A494" s="45">
        <v>45623</v>
      </c>
      <c r="B494" s="44">
        <v>1</v>
      </c>
    </row>
    <row r="495" spans="1:2" x14ac:dyDescent="0.25">
      <c r="A495" s="45">
        <v>45624</v>
      </c>
      <c r="B495" s="44">
        <v>1</v>
      </c>
    </row>
    <row r="496" spans="1:2" x14ac:dyDescent="0.25">
      <c r="A496" s="45">
        <v>45625</v>
      </c>
      <c r="B496" s="44">
        <v>1</v>
      </c>
    </row>
    <row r="497" spans="1:2" x14ac:dyDescent="0.25">
      <c r="A497" s="45">
        <v>45626</v>
      </c>
      <c r="B497" s="44">
        <v>1</v>
      </c>
    </row>
    <row r="498" spans="1:2" x14ac:dyDescent="0.25">
      <c r="A498" s="45">
        <v>45627</v>
      </c>
      <c r="B498" s="44">
        <v>1</v>
      </c>
    </row>
    <row r="499" spans="1:2" x14ac:dyDescent="0.25">
      <c r="A499" s="45">
        <v>45628</v>
      </c>
      <c r="B499" s="44">
        <v>1</v>
      </c>
    </row>
    <row r="500" spans="1:2" x14ac:dyDescent="0.25">
      <c r="A500" s="45">
        <v>45629</v>
      </c>
      <c r="B500" s="44">
        <v>1</v>
      </c>
    </row>
    <row r="501" spans="1:2" x14ac:dyDescent="0.25">
      <c r="A501" s="45">
        <v>45630</v>
      </c>
      <c r="B501" s="44">
        <v>1</v>
      </c>
    </row>
    <row r="502" spans="1:2" x14ac:dyDescent="0.25">
      <c r="A502" s="45">
        <v>45631</v>
      </c>
      <c r="B502" s="44">
        <v>1</v>
      </c>
    </row>
    <row r="503" spans="1:2" x14ac:dyDescent="0.25">
      <c r="A503" s="45">
        <v>45632</v>
      </c>
      <c r="B503" s="44">
        <v>1</v>
      </c>
    </row>
    <row r="504" spans="1:2" x14ac:dyDescent="0.25">
      <c r="A504" s="45">
        <v>45633</v>
      </c>
      <c r="B504" s="44">
        <v>1</v>
      </c>
    </row>
    <row r="505" spans="1:2" x14ac:dyDescent="0.25">
      <c r="A505" s="45">
        <v>45634</v>
      </c>
      <c r="B505" s="44">
        <v>1</v>
      </c>
    </row>
    <row r="506" spans="1:2" x14ac:dyDescent="0.25">
      <c r="A506" s="45">
        <v>45635</v>
      </c>
      <c r="B506" s="44">
        <v>1</v>
      </c>
    </row>
    <row r="507" spans="1:2" x14ac:dyDescent="0.25">
      <c r="A507" s="45">
        <v>45636</v>
      </c>
      <c r="B507" s="44">
        <v>1</v>
      </c>
    </row>
    <row r="508" spans="1:2" x14ac:dyDescent="0.25">
      <c r="A508" s="45">
        <v>45637</v>
      </c>
      <c r="B508" s="44">
        <v>1</v>
      </c>
    </row>
    <row r="509" spans="1:2" x14ac:dyDescent="0.25">
      <c r="A509" s="45">
        <v>45638</v>
      </c>
      <c r="B509" s="44">
        <v>1</v>
      </c>
    </row>
    <row r="510" spans="1:2" x14ac:dyDescent="0.25">
      <c r="A510" s="45">
        <v>45639</v>
      </c>
      <c r="B510" s="44">
        <v>1</v>
      </c>
    </row>
    <row r="511" spans="1:2" x14ac:dyDescent="0.25">
      <c r="A511" s="45">
        <v>45640</v>
      </c>
      <c r="B511" s="44">
        <v>1</v>
      </c>
    </row>
    <row r="512" spans="1:2" x14ac:dyDescent="0.25">
      <c r="A512" s="45">
        <v>45641</v>
      </c>
      <c r="B512" s="44">
        <v>1</v>
      </c>
    </row>
    <row r="513" spans="1:2" x14ac:dyDescent="0.25">
      <c r="A513" s="45">
        <v>45642</v>
      </c>
      <c r="B513" s="44">
        <v>1</v>
      </c>
    </row>
    <row r="514" spans="1:2" x14ac:dyDescent="0.25">
      <c r="A514" s="45">
        <v>45643</v>
      </c>
      <c r="B514" s="44">
        <v>1</v>
      </c>
    </row>
    <row r="515" spans="1:2" x14ac:dyDescent="0.25">
      <c r="A515" s="45">
        <v>45644</v>
      </c>
      <c r="B515" s="44">
        <v>1</v>
      </c>
    </row>
    <row r="516" spans="1:2" x14ac:dyDescent="0.25">
      <c r="A516" s="45">
        <v>45645</v>
      </c>
      <c r="B516" s="44">
        <v>1</v>
      </c>
    </row>
    <row r="517" spans="1:2" x14ac:dyDescent="0.25">
      <c r="A517" s="45">
        <v>45646</v>
      </c>
      <c r="B517" s="44">
        <v>1</v>
      </c>
    </row>
    <row r="518" spans="1:2" x14ac:dyDescent="0.25">
      <c r="A518" s="45">
        <v>45647</v>
      </c>
      <c r="B518" s="44">
        <v>1</v>
      </c>
    </row>
    <row r="519" spans="1:2" x14ac:dyDescent="0.25">
      <c r="A519" s="45">
        <v>45648</v>
      </c>
      <c r="B519" s="44">
        <v>1</v>
      </c>
    </row>
    <row r="520" spans="1:2" x14ac:dyDescent="0.25">
      <c r="A520" s="45">
        <v>45649</v>
      </c>
      <c r="B520" s="44">
        <v>1</v>
      </c>
    </row>
    <row r="521" spans="1:2" x14ac:dyDescent="0.25">
      <c r="A521" s="45">
        <v>45650</v>
      </c>
      <c r="B521" s="44">
        <v>1</v>
      </c>
    </row>
    <row r="522" spans="1:2" x14ac:dyDescent="0.25">
      <c r="A522" s="45">
        <v>45651</v>
      </c>
      <c r="B522" s="44">
        <v>1</v>
      </c>
    </row>
    <row r="523" spans="1:2" x14ac:dyDescent="0.25">
      <c r="A523" s="45">
        <v>45652</v>
      </c>
      <c r="B523" s="44">
        <v>1</v>
      </c>
    </row>
    <row r="524" spans="1:2" x14ac:dyDescent="0.25">
      <c r="A524" s="45">
        <v>45653</v>
      </c>
      <c r="B524" s="44">
        <v>1</v>
      </c>
    </row>
    <row r="525" spans="1:2" x14ac:dyDescent="0.25">
      <c r="A525" s="45">
        <v>45654</v>
      </c>
      <c r="B525" s="44">
        <v>1</v>
      </c>
    </row>
    <row r="526" spans="1:2" x14ac:dyDescent="0.25">
      <c r="A526" s="45">
        <v>45655</v>
      </c>
      <c r="B526" s="44">
        <v>1</v>
      </c>
    </row>
    <row r="527" spans="1:2" x14ac:dyDescent="0.25">
      <c r="A527" s="45">
        <v>45656</v>
      </c>
      <c r="B527" s="44">
        <v>1</v>
      </c>
    </row>
    <row r="528" spans="1:2" x14ac:dyDescent="0.25">
      <c r="A528" s="45">
        <v>45657</v>
      </c>
      <c r="B528" s="44">
        <v>1</v>
      </c>
    </row>
    <row r="529" spans="1:2" x14ac:dyDescent="0.25">
      <c r="A529" s="45">
        <v>45658</v>
      </c>
      <c r="B529" s="44">
        <v>1</v>
      </c>
    </row>
    <row r="530" spans="1:2" x14ac:dyDescent="0.25">
      <c r="A530" s="45">
        <v>45659</v>
      </c>
      <c r="B530" s="44">
        <v>1</v>
      </c>
    </row>
    <row r="531" spans="1:2" x14ac:dyDescent="0.25">
      <c r="A531" s="45">
        <v>45660</v>
      </c>
      <c r="B531" s="44">
        <v>1</v>
      </c>
    </row>
    <row r="532" spans="1:2" x14ac:dyDescent="0.25">
      <c r="A532" s="45">
        <v>45661</v>
      </c>
      <c r="B532" s="44">
        <v>1</v>
      </c>
    </row>
    <row r="533" spans="1:2" x14ac:dyDescent="0.25">
      <c r="A533" s="45">
        <v>45662</v>
      </c>
      <c r="B533" s="44">
        <v>1</v>
      </c>
    </row>
    <row r="534" spans="1:2" x14ac:dyDescent="0.25">
      <c r="A534" s="45">
        <v>45663</v>
      </c>
      <c r="B534" s="44">
        <v>1</v>
      </c>
    </row>
    <row r="535" spans="1:2" x14ac:dyDescent="0.25">
      <c r="A535" s="45">
        <v>45664</v>
      </c>
      <c r="B535" s="44">
        <v>1</v>
      </c>
    </row>
    <row r="536" spans="1:2" x14ac:dyDescent="0.25">
      <c r="A536" s="45">
        <v>45665</v>
      </c>
      <c r="B536" s="44">
        <v>1</v>
      </c>
    </row>
    <row r="537" spans="1:2" x14ac:dyDescent="0.25">
      <c r="A537" s="45">
        <v>45666</v>
      </c>
      <c r="B537" s="44">
        <v>1</v>
      </c>
    </row>
    <row r="538" spans="1:2" x14ac:dyDescent="0.25">
      <c r="A538" s="45">
        <v>45667</v>
      </c>
      <c r="B538" s="44">
        <v>1</v>
      </c>
    </row>
    <row r="539" spans="1:2" x14ac:dyDescent="0.25">
      <c r="A539" s="45">
        <v>45668</v>
      </c>
      <c r="B539" s="44">
        <v>1</v>
      </c>
    </row>
    <row r="540" spans="1:2" x14ac:dyDescent="0.25">
      <c r="A540" s="45">
        <v>45669</v>
      </c>
      <c r="B540" s="44">
        <v>1</v>
      </c>
    </row>
    <row r="541" spans="1:2" x14ac:dyDescent="0.25">
      <c r="A541" s="45">
        <v>45670</v>
      </c>
      <c r="B541" s="44">
        <v>1</v>
      </c>
    </row>
    <row r="542" spans="1:2" x14ac:dyDescent="0.25">
      <c r="A542" s="45">
        <v>45671</v>
      </c>
      <c r="B542" s="44">
        <v>1</v>
      </c>
    </row>
    <row r="543" spans="1:2" x14ac:dyDescent="0.25">
      <c r="A543" s="45">
        <v>45672</v>
      </c>
      <c r="B543" s="44">
        <v>1</v>
      </c>
    </row>
    <row r="544" spans="1:2" x14ac:dyDescent="0.25">
      <c r="A544" s="45">
        <v>45673</v>
      </c>
      <c r="B544" s="44">
        <v>1</v>
      </c>
    </row>
    <row r="545" spans="1:2" x14ac:dyDescent="0.25">
      <c r="A545" s="45">
        <v>45674</v>
      </c>
      <c r="B545" s="44">
        <v>1</v>
      </c>
    </row>
    <row r="546" spans="1:2" x14ac:dyDescent="0.25">
      <c r="A546" s="45">
        <v>45675</v>
      </c>
      <c r="B546" s="44">
        <v>1</v>
      </c>
    </row>
    <row r="547" spans="1:2" x14ac:dyDescent="0.25">
      <c r="A547" s="45">
        <v>45676</v>
      </c>
      <c r="B547" s="44">
        <v>1</v>
      </c>
    </row>
    <row r="548" spans="1:2" x14ac:dyDescent="0.25">
      <c r="A548" s="45">
        <v>45677</v>
      </c>
      <c r="B548" s="44">
        <v>1</v>
      </c>
    </row>
    <row r="549" spans="1:2" x14ac:dyDescent="0.25">
      <c r="A549" s="45">
        <v>45678</v>
      </c>
      <c r="B549" s="44">
        <v>1</v>
      </c>
    </row>
    <row r="550" spans="1:2" x14ac:dyDescent="0.25">
      <c r="A550" s="45">
        <v>45679</v>
      </c>
      <c r="B550" s="44">
        <v>1</v>
      </c>
    </row>
    <row r="551" spans="1:2" x14ac:dyDescent="0.25">
      <c r="A551" s="45">
        <v>45680</v>
      </c>
      <c r="B551" s="44">
        <v>1</v>
      </c>
    </row>
    <row r="552" spans="1:2" x14ac:dyDescent="0.25">
      <c r="A552" s="45">
        <v>45681</v>
      </c>
      <c r="B552" s="44">
        <v>1</v>
      </c>
    </row>
    <row r="553" spans="1:2" x14ac:dyDescent="0.25">
      <c r="A553" s="45">
        <v>45682</v>
      </c>
      <c r="B553" s="44">
        <v>1</v>
      </c>
    </row>
    <row r="554" spans="1:2" x14ac:dyDescent="0.25">
      <c r="A554" s="45">
        <v>45683</v>
      </c>
      <c r="B554" s="44">
        <v>1</v>
      </c>
    </row>
    <row r="555" spans="1:2" x14ac:dyDescent="0.25">
      <c r="A555" s="45">
        <v>45684</v>
      </c>
      <c r="B555" s="44">
        <v>1</v>
      </c>
    </row>
    <row r="556" spans="1:2" x14ac:dyDescent="0.25">
      <c r="A556" s="45">
        <v>45685</v>
      </c>
      <c r="B556" s="44">
        <v>1</v>
      </c>
    </row>
    <row r="557" spans="1:2" x14ac:dyDescent="0.25">
      <c r="A557" s="45">
        <v>45686</v>
      </c>
      <c r="B557" s="44">
        <v>1</v>
      </c>
    </row>
    <row r="558" spans="1:2" x14ac:dyDescent="0.25">
      <c r="A558" s="45">
        <v>45687</v>
      </c>
      <c r="B558" s="44">
        <v>1</v>
      </c>
    </row>
    <row r="559" spans="1:2" x14ac:dyDescent="0.25">
      <c r="A559" s="45">
        <v>45688</v>
      </c>
      <c r="B559" s="44">
        <v>1</v>
      </c>
    </row>
    <row r="560" spans="1:2" x14ac:dyDescent="0.25">
      <c r="A560" s="45">
        <v>45689</v>
      </c>
      <c r="B560" s="44">
        <v>1</v>
      </c>
    </row>
    <row r="561" spans="1:2" x14ac:dyDescent="0.25">
      <c r="A561" s="45">
        <v>45690</v>
      </c>
      <c r="B561" s="44">
        <v>1</v>
      </c>
    </row>
    <row r="562" spans="1:2" x14ac:dyDescent="0.25">
      <c r="A562" s="45">
        <v>45691</v>
      </c>
      <c r="B562" s="44">
        <v>1</v>
      </c>
    </row>
    <row r="563" spans="1:2" x14ac:dyDescent="0.25">
      <c r="A563" s="45">
        <v>45692</v>
      </c>
      <c r="B563" s="44">
        <v>1</v>
      </c>
    </row>
    <row r="564" spans="1:2" x14ac:dyDescent="0.25">
      <c r="A564" s="45">
        <v>45693</v>
      </c>
      <c r="B564" s="44">
        <v>1</v>
      </c>
    </row>
    <row r="565" spans="1:2" x14ac:dyDescent="0.25">
      <c r="A565" s="45">
        <v>45694</v>
      </c>
      <c r="B565" s="44">
        <v>1</v>
      </c>
    </row>
    <row r="566" spans="1:2" x14ac:dyDescent="0.25">
      <c r="A566" s="45">
        <v>45695</v>
      </c>
      <c r="B566" s="44">
        <v>1</v>
      </c>
    </row>
    <row r="567" spans="1:2" x14ac:dyDescent="0.25">
      <c r="A567" s="45">
        <v>45696</v>
      </c>
      <c r="B567" s="44">
        <v>1</v>
      </c>
    </row>
    <row r="568" spans="1:2" x14ac:dyDescent="0.25">
      <c r="A568" s="45">
        <v>45697</v>
      </c>
      <c r="B568" s="44">
        <v>1</v>
      </c>
    </row>
    <row r="569" spans="1:2" x14ac:dyDescent="0.25">
      <c r="A569" s="45">
        <v>45698</v>
      </c>
      <c r="B569" s="44">
        <v>1</v>
      </c>
    </row>
    <row r="570" spans="1:2" x14ac:dyDescent="0.25">
      <c r="A570" s="45">
        <v>45699</v>
      </c>
      <c r="B570" s="44">
        <v>1</v>
      </c>
    </row>
    <row r="571" spans="1:2" x14ac:dyDescent="0.25">
      <c r="A571" s="45">
        <v>45700</v>
      </c>
      <c r="B571" s="44">
        <v>1</v>
      </c>
    </row>
    <row r="572" spans="1:2" x14ac:dyDescent="0.25">
      <c r="A572" s="45">
        <v>45701</v>
      </c>
      <c r="B572" s="44">
        <v>1</v>
      </c>
    </row>
    <row r="573" spans="1:2" x14ac:dyDescent="0.25">
      <c r="A573" s="45">
        <v>45702</v>
      </c>
      <c r="B573" s="44">
        <v>1</v>
      </c>
    </row>
    <row r="574" spans="1:2" x14ac:dyDescent="0.25">
      <c r="A574" s="45">
        <v>45703</v>
      </c>
      <c r="B574" s="44">
        <v>1</v>
      </c>
    </row>
    <row r="575" spans="1:2" x14ac:dyDescent="0.25">
      <c r="A575" s="45">
        <v>45704</v>
      </c>
      <c r="B575" s="44">
        <v>1</v>
      </c>
    </row>
    <row r="576" spans="1:2" x14ac:dyDescent="0.25">
      <c r="A576" s="45">
        <v>45705</v>
      </c>
      <c r="B576" s="44">
        <v>1</v>
      </c>
    </row>
    <row r="577" spans="1:2" x14ac:dyDescent="0.25">
      <c r="A577" s="45">
        <v>45706</v>
      </c>
      <c r="B577" s="44">
        <v>1</v>
      </c>
    </row>
    <row r="578" spans="1:2" x14ac:dyDescent="0.25">
      <c r="A578" s="45">
        <v>45707</v>
      </c>
      <c r="B578" s="44">
        <v>1</v>
      </c>
    </row>
    <row r="579" spans="1:2" x14ac:dyDescent="0.25">
      <c r="A579" s="45">
        <v>45708</v>
      </c>
      <c r="B579" s="44">
        <v>1</v>
      </c>
    </row>
    <row r="580" spans="1:2" x14ac:dyDescent="0.25">
      <c r="A580" s="45">
        <v>45709</v>
      </c>
      <c r="B580" s="44">
        <v>1</v>
      </c>
    </row>
    <row r="581" spans="1:2" x14ac:dyDescent="0.25">
      <c r="A581" s="45">
        <v>45710</v>
      </c>
      <c r="B581" s="44">
        <v>1</v>
      </c>
    </row>
    <row r="582" spans="1:2" x14ac:dyDescent="0.25">
      <c r="A582" s="45">
        <v>45711</v>
      </c>
      <c r="B582" s="44">
        <v>1</v>
      </c>
    </row>
    <row r="583" spans="1:2" x14ac:dyDescent="0.25">
      <c r="A583" s="45">
        <v>45712</v>
      </c>
      <c r="B583" s="44">
        <v>1</v>
      </c>
    </row>
    <row r="584" spans="1:2" x14ac:dyDescent="0.25">
      <c r="A584" s="45">
        <v>45713</v>
      </c>
      <c r="B584" s="44">
        <v>1</v>
      </c>
    </row>
    <row r="585" spans="1:2" x14ac:dyDescent="0.25">
      <c r="A585" s="45">
        <v>45714</v>
      </c>
      <c r="B585" s="44">
        <v>1</v>
      </c>
    </row>
    <row r="586" spans="1:2" x14ac:dyDescent="0.25">
      <c r="A586" s="45">
        <v>45715</v>
      </c>
      <c r="B586" s="44">
        <v>1</v>
      </c>
    </row>
    <row r="587" spans="1:2" x14ac:dyDescent="0.25">
      <c r="A587" s="45">
        <v>45716</v>
      </c>
      <c r="B587" s="44">
        <v>1</v>
      </c>
    </row>
    <row r="588" spans="1:2" x14ac:dyDescent="0.25">
      <c r="A588" s="45">
        <v>45717</v>
      </c>
      <c r="B588" s="44">
        <v>1</v>
      </c>
    </row>
    <row r="589" spans="1:2" x14ac:dyDescent="0.25">
      <c r="A589" s="45">
        <v>45718</v>
      </c>
      <c r="B589" s="44">
        <v>1</v>
      </c>
    </row>
    <row r="590" spans="1:2" x14ac:dyDescent="0.25">
      <c r="A590" s="45">
        <v>45719</v>
      </c>
      <c r="B590" s="44">
        <v>1</v>
      </c>
    </row>
    <row r="591" spans="1:2" x14ac:dyDescent="0.25">
      <c r="A591" s="45">
        <v>45720</v>
      </c>
      <c r="B591" s="44">
        <v>1</v>
      </c>
    </row>
    <row r="592" spans="1:2" x14ac:dyDescent="0.25">
      <c r="A592" s="45">
        <v>45721</v>
      </c>
      <c r="B592" s="44">
        <v>1</v>
      </c>
    </row>
    <row r="593" spans="1:2" x14ac:dyDescent="0.25">
      <c r="A593" s="45">
        <v>45722</v>
      </c>
      <c r="B593" s="44">
        <v>1</v>
      </c>
    </row>
    <row r="594" spans="1:2" x14ac:dyDescent="0.25">
      <c r="A594" s="45">
        <v>45723</v>
      </c>
      <c r="B594" s="44">
        <v>1</v>
      </c>
    </row>
    <row r="595" spans="1:2" x14ac:dyDescent="0.25">
      <c r="A595" s="45">
        <v>45724</v>
      </c>
      <c r="B595" s="44">
        <v>1</v>
      </c>
    </row>
    <row r="596" spans="1:2" x14ac:dyDescent="0.25">
      <c r="A596" s="45">
        <v>45725</v>
      </c>
      <c r="B596" s="44">
        <v>1</v>
      </c>
    </row>
    <row r="597" spans="1:2" x14ac:dyDescent="0.25">
      <c r="A597" s="45">
        <v>45726</v>
      </c>
      <c r="B597" s="44">
        <v>1</v>
      </c>
    </row>
    <row r="598" spans="1:2" x14ac:dyDescent="0.25">
      <c r="A598" s="45">
        <v>45727</v>
      </c>
      <c r="B598" s="44">
        <v>1</v>
      </c>
    </row>
    <row r="599" spans="1:2" x14ac:dyDescent="0.25">
      <c r="A599" s="45">
        <v>45728</v>
      </c>
      <c r="B599" s="44">
        <v>1</v>
      </c>
    </row>
    <row r="600" spans="1:2" x14ac:dyDescent="0.25">
      <c r="A600" s="45">
        <v>45729</v>
      </c>
      <c r="B600" s="44">
        <v>1</v>
      </c>
    </row>
    <row r="601" spans="1:2" x14ac:dyDescent="0.25">
      <c r="A601" s="45">
        <v>45730</v>
      </c>
      <c r="B601" s="44">
        <v>1</v>
      </c>
    </row>
    <row r="602" spans="1:2" x14ac:dyDescent="0.25">
      <c r="A602" s="45">
        <v>45731</v>
      </c>
      <c r="B602" s="44">
        <v>1</v>
      </c>
    </row>
    <row r="603" spans="1:2" x14ac:dyDescent="0.25">
      <c r="A603" s="45">
        <v>45732</v>
      </c>
      <c r="B603" s="44">
        <v>1</v>
      </c>
    </row>
    <row r="604" spans="1:2" x14ac:dyDescent="0.25">
      <c r="A604" s="45">
        <v>45733</v>
      </c>
      <c r="B604" s="44">
        <v>1</v>
      </c>
    </row>
    <row r="605" spans="1:2" x14ac:dyDescent="0.25">
      <c r="A605" s="45">
        <v>45734</v>
      </c>
      <c r="B605" s="44">
        <v>1</v>
      </c>
    </row>
    <row r="606" spans="1:2" x14ac:dyDescent="0.25">
      <c r="A606" s="45">
        <v>45735</v>
      </c>
      <c r="B606" s="44">
        <v>1</v>
      </c>
    </row>
    <row r="607" spans="1:2" x14ac:dyDescent="0.25">
      <c r="A607" s="45">
        <v>45736</v>
      </c>
      <c r="B607" s="44">
        <v>1</v>
      </c>
    </row>
    <row r="608" spans="1:2" x14ac:dyDescent="0.25">
      <c r="A608" s="45">
        <v>45737</v>
      </c>
      <c r="B608" s="44">
        <v>1</v>
      </c>
    </row>
    <row r="609" spans="1:2" x14ac:dyDescent="0.25">
      <c r="A609" s="45">
        <v>45738</v>
      </c>
      <c r="B609" s="44">
        <v>1</v>
      </c>
    </row>
    <row r="610" spans="1:2" x14ac:dyDescent="0.25">
      <c r="A610" s="45">
        <v>45739</v>
      </c>
      <c r="B610" s="44">
        <v>1</v>
      </c>
    </row>
    <row r="611" spans="1:2" x14ac:dyDescent="0.25">
      <c r="A611" s="45">
        <v>45740</v>
      </c>
      <c r="B611" s="44">
        <v>1</v>
      </c>
    </row>
    <row r="612" spans="1:2" x14ac:dyDescent="0.25">
      <c r="A612" s="45">
        <v>45741</v>
      </c>
      <c r="B612" s="44">
        <v>1</v>
      </c>
    </row>
    <row r="613" spans="1:2" x14ac:dyDescent="0.25">
      <c r="A613" s="45">
        <v>45742</v>
      </c>
      <c r="B613" s="44">
        <v>1</v>
      </c>
    </row>
    <row r="614" spans="1:2" x14ac:dyDescent="0.25">
      <c r="A614" s="45">
        <v>45743</v>
      </c>
      <c r="B614" s="44">
        <v>1</v>
      </c>
    </row>
    <row r="615" spans="1:2" x14ac:dyDescent="0.25">
      <c r="A615" s="45">
        <v>45744</v>
      </c>
      <c r="B615" s="44">
        <v>1</v>
      </c>
    </row>
    <row r="616" spans="1:2" x14ac:dyDescent="0.25">
      <c r="A616" s="45">
        <v>45745</v>
      </c>
      <c r="B616" s="44">
        <v>1</v>
      </c>
    </row>
    <row r="617" spans="1:2" x14ac:dyDescent="0.25">
      <c r="A617" s="45">
        <v>45746</v>
      </c>
      <c r="B617" s="44">
        <v>1</v>
      </c>
    </row>
    <row r="618" spans="1:2" x14ac:dyDescent="0.25">
      <c r="A618" s="45">
        <v>45747</v>
      </c>
      <c r="B618" s="44">
        <v>1</v>
      </c>
    </row>
    <row r="619" spans="1:2" x14ac:dyDescent="0.25">
      <c r="A619" s="45">
        <v>45748</v>
      </c>
      <c r="B619" s="44">
        <v>1</v>
      </c>
    </row>
    <row r="620" spans="1:2" x14ac:dyDescent="0.25">
      <c r="A620" s="45">
        <v>45749</v>
      </c>
      <c r="B620" s="44">
        <v>1</v>
      </c>
    </row>
    <row r="621" spans="1:2" x14ac:dyDescent="0.25">
      <c r="A621" s="45">
        <v>45750</v>
      </c>
      <c r="B621" s="44">
        <v>1</v>
      </c>
    </row>
    <row r="622" spans="1:2" x14ac:dyDescent="0.25">
      <c r="A622" s="45">
        <v>45751</v>
      </c>
      <c r="B622" s="44">
        <v>1</v>
      </c>
    </row>
    <row r="623" spans="1:2" x14ac:dyDescent="0.25">
      <c r="A623" s="45">
        <v>45752</v>
      </c>
      <c r="B623" s="44">
        <v>1</v>
      </c>
    </row>
    <row r="624" spans="1:2" x14ac:dyDescent="0.25">
      <c r="A624" s="45">
        <v>45753</v>
      </c>
      <c r="B624" s="44">
        <v>1</v>
      </c>
    </row>
    <row r="625" spans="1:2" x14ac:dyDescent="0.25">
      <c r="A625" s="45">
        <v>45754</v>
      </c>
      <c r="B625" s="44">
        <v>1</v>
      </c>
    </row>
    <row r="626" spans="1:2" x14ac:dyDescent="0.25">
      <c r="A626" s="45">
        <v>45755</v>
      </c>
      <c r="B626" s="44">
        <v>1</v>
      </c>
    </row>
    <row r="627" spans="1:2" x14ac:dyDescent="0.25">
      <c r="A627" s="45">
        <v>45756</v>
      </c>
      <c r="B627" s="44">
        <v>1</v>
      </c>
    </row>
    <row r="628" spans="1:2" x14ac:dyDescent="0.25">
      <c r="A628" s="45">
        <v>45757</v>
      </c>
      <c r="B628" s="44">
        <v>1</v>
      </c>
    </row>
    <row r="629" spans="1:2" x14ac:dyDescent="0.25">
      <c r="A629" s="45">
        <v>45758</v>
      </c>
      <c r="B629" s="44">
        <v>1</v>
      </c>
    </row>
    <row r="630" spans="1:2" x14ac:dyDescent="0.25">
      <c r="A630" s="45">
        <v>45759</v>
      </c>
      <c r="B630" s="44">
        <v>1</v>
      </c>
    </row>
    <row r="631" spans="1:2" x14ac:dyDescent="0.25">
      <c r="A631" s="45">
        <v>45760</v>
      </c>
      <c r="B631" s="44">
        <v>1</v>
      </c>
    </row>
    <row r="632" spans="1:2" x14ac:dyDescent="0.25">
      <c r="A632" s="45">
        <v>45761</v>
      </c>
      <c r="B632" s="44">
        <v>1</v>
      </c>
    </row>
    <row r="633" spans="1:2" x14ac:dyDescent="0.25">
      <c r="A633" s="45">
        <v>45762</v>
      </c>
      <c r="B633" s="44">
        <v>1</v>
      </c>
    </row>
    <row r="634" spans="1:2" x14ac:dyDescent="0.25">
      <c r="A634" s="45">
        <v>45763</v>
      </c>
      <c r="B634" s="44">
        <v>1</v>
      </c>
    </row>
    <row r="635" spans="1:2" x14ac:dyDescent="0.25">
      <c r="A635" s="45">
        <v>45764</v>
      </c>
      <c r="B635" s="44">
        <v>1</v>
      </c>
    </row>
    <row r="636" spans="1:2" x14ac:dyDescent="0.25">
      <c r="A636" s="45">
        <v>45765</v>
      </c>
      <c r="B636" s="44">
        <v>1</v>
      </c>
    </row>
    <row r="637" spans="1:2" x14ac:dyDescent="0.25">
      <c r="A637" s="45">
        <v>45766</v>
      </c>
      <c r="B637" s="44">
        <v>1</v>
      </c>
    </row>
    <row r="638" spans="1:2" x14ac:dyDescent="0.25">
      <c r="A638" s="45">
        <v>45767</v>
      </c>
      <c r="B638" s="44">
        <v>1</v>
      </c>
    </row>
    <row r="639" spans="1:2" x14ac:dyDescent="0.25">
      <c r="A639" s="45">
        <v>45768</v>
      </c>
      <c r="B639" s="44">
        <v>1</v>
      </c>
    </row>
    <row r="640" spans="1:2" x14ac:dyDescent="0.25">
      <c r="A640" s="45">
        <v>45769</v>
      </c>
      <c r="B640" s="44">
        <v>1</v>
      </c>
    </row>
    <row r="641" spans="1:2" x14ac:dyDescent="0.25">
      <c r="A641" s="45">
        <v>45770</v>
      </c>
      <c r="B641" s="44">
        <v>1</v>
      </c>
    </row>
    <row r="642" spans="1:2" x14ac:dyDescent="0.25">
      <c r="A642" s="45">
        <v>45771</v>
      </c>
      <c r="B642" s="44">
        <v>1</v>
      </c>
    </row>
    <row r="643" spans="1:2" x14ac:dyDescent="0.25">
      <c r="A643" s="45">
        <v>45772</v>
      </c>
      <c r="B643" s="44">
        <v>1</v>
      </c>
    </row>
    <row r="644" spans="1:2" x14ac:dyDescent="0.25">
      <c r="A644" s="45">
        <v>45773</v>
      </c>
      <c r="B644" s="44">
        <v>1</v>
      </c>
    </row>
    <row r="645" spans="1:2" x14ac:dyDescent="0.25">
      <c r="A645" s="45">
        <v>45774</v>
      </c>
      <c r="B645" s="44">
        <v>1</v>
      </c>
    </row>
    <row r="646" spans="1:2" x14ac:dyDescent="0.25">
      <c r="A646" s="45">
        <v>45775</v>
      </c>
      <c r="B646" s="44">
        <v>1</v>
      </c>
    </row>
    <row r="647" spans="1:2" x14ac:dyDescent="0.25">
      <c r="A647" s="45">
        <v>45776</v>
      </c>
      <c r="B647" s="44">
        <v>1</v>
      </c>
    </row>
    <row r="648" spans="1:2" x14ac:dyDescent="0.25">
      <c r="A648" s="45">
        <v>45777</v>
      </c>
      <c r="B648" s="44">
        <v>1</v>
      </c>
    </row>
    <row r="649" spans="1:2" x14ac:dyDescent="0.25">
      <c r="A649" s="45">
        <v>45778</v>
      </c>
      <c r="B649" s="44">
        <v>1</v>
      </c>
    </row>
    <row r="650" spans="1:2" x14ac:dyDescent="0.25">
      <c r="A650" s="45">
        <v>45779</v>
      </c>
      <c r="B650" s="44">
        <v>1</v>
      </c>
    </row>
    <row r="651" spans="1:2" x14ac:dyDescent="0.25">
      <c r="A651" s="45">
        <v>45780</v>
      </c>
      <c r="B651" s="44">
        <v>1</v>
      </c>
    </row>
    <row r="652" spans="1:2" x14ac:dyDescent="0.25">
      <c r="A652" s="45">
        <v>45781</v>
      </c>
      <c r="B652" s="44">
        <v>1</v>
      </c>
    </row>
    <row r="653" spans="1:2" x14ac:dyDescent="0.25">
      <c r="A653" s="45">
        <v>45782</v>
      </c>
      <c r="B653" s="44">
        <v>1</v>
      </c>
    </row>
    <row r="654" spans="1:2" x14ac:dyDescent="0.25">
      <c r="A654" s="45">
        <v>45783</v>
      </c>
      <c r="B654" s="44">
        <v>1</v>
      </c>
    </row>
    <row r="655" spans="1:2" x14ac:dyDescent="0.25">
      <c r="A655" s="45">
        <v>45784</v>
      </c>
      <c r="B655" s="44">
        <v>1</v>
      </c>
    </row>
    <row r="656" spans="1:2" x14ac:dyDescent="0.25">
      <c r="A656" s="45">
        <v>45785</v>
      </c>
      <c r="B656" s="44">
        <v>1</v>
      </c>
    </row>
    <row r="657" spans="1:2" x14ac:dyDescent="0.25">
      <c r="A657" s="45">
        <v>45786</v>
      </c>
      <c r="B657" s="44">
        <v>1</v>
      </c>
    </row>
    <row r="658" spans="1:2" x14ac:dyDescent="0.25">
      <c r="A658" s="45">
        <v>45787</v>
      </c>
      <c r="B658" s="44">
        <v>1</v>
      </c>
    </row>
    <row r="659" spans="1:2" x14ac:dyDescent="0.25">
      <c r="A659" s="45">
        <v>45788</v>
      </c>
      <c r="B659" s="44">
        <v>1</v>
      </c>
    </row>
    <row r="660" spans="1:2" x14ac:dyDescent="0.25">
      <c r="A660" s="45">
        <v>45789</v>
      </c>
      <c r="B660" s="44">
        <v>1</v>
      </c>
    </row>
    <row r="661" spans="1:2" x14ac:dyDescent="0.25">
      <c r="A661" s="45">
        <v>45790</v>
      </c>
      <c r="B661" s="44">
        <v>1</v>
      </c>
    </row>
    <row r="662" spans="1:2" x14ac:dyDescent="0.25">
      <c r="A662" s="45">
        <v>45791</v>
      </c>
      <c r="B662" s="44">
        <v>1</v>
      </c>
    </row>
    <row r="663" spans="1:2" x14ac:dyDescent="0.25">
      <c r="A663" s="45">
        <v>45792</v>
      </c>
      <c r="B663" s="44">
        <v>1</v>
      </c>
    </row>
    <row r="664" spans="1:2" x14ac:dyDescent="0.25">
      <c r="A664" s="45">
        <v>45793</v>
      </c>
      <c r="B664" s="44">
        <v>1</v>
      </c>
    </row>
    <row r="665" spans="1:2" x14ac:dyDescent="0.25">
      <c r="A665" s="45">
        <v>45794</v>
      </c>
      <c r="B665" s="44">
        <v>1</v>
      </c>
    </row>
    <row r="666" spans="1:2" x14ac:dyDescent="0.25">
      <c r="A666" s="45">
        <v>45795</v>
      </c>
      <c r="B666" s="44">
        <v>1</v>
      </c>
    </row>
    <row r="667" spans="1:2" x14ac:dyDescent="0.25">
      <c r="A667" s="45">
        <v>45796</v>
      </c>
      <c r="B667" s="44">
        <v>1</v>
      </c>
    </row>
    <row r="668" spans="1:2" x14ac:dyDescent="0.25">
      <c r="A668" s="45">
        <v>45797</v>
      </c>
      <c r="B668" s="44">
        <v>1</v>
      </c>
    </row>
    <row r="669" spans="1:2" x14ac:dyDescent="0.25">
      <c r="A669" s="45">
        <v>45798</v>
      </c>
      <c r="B669" s="44">
        <v>1</v>
      </c>
    </row>
    <row r="670" spans="1:2" x14ac:dyDescent="0.25">
      <c r="A670" s="45">
        <v>45799</v>
      </c>
      <c r="B670" s="44">
        <v>1</v>
      </c>
    </row>
    <row r="671" spans="1:2" x14ac:dyDescent="0.25">
      <c r="A671" s="45">
        <v>45800</v>
      </c>
      <c r="B671" s="44">
        <v>1</v>
      </c>
    </row>
    <row r="672" spans="1:2" x14ac:dyDescent="0.25">
      <c r="A672" s="45">
        <v>45801</v>
      </c>
      <c r="B672" s="44">
        <v>1</v>
      </c>
    </row>
    <row r="673" spans="1:2" x14ac:dyDescent="0.25">
      <c r="A673" s="45">
        <v>45802</v>
      </c>
      <c r="B673" s="44">
        <v>1</v>
      </c>
    </row>
    <row r="674" spans="1:2" x14ac:dyDescent="0.25">
      <c r="A674" s="45">
        <v>45803</v>
      </c>
      <c r="B674" s="44">
        <v>1</v>
      </c>
    </row>
    <row r="675" spans="1:2" x14ac:dyDescent="0.25">
      <c r="A675" s="45">
        <v>45804</v>
      </c>
      <c r="B675" s="44">
        <v>1</v>
      </c>
    </row>
    <row r="676" spans="1:2" x14ac:dyDescent="0.25">
      <c r="A676" s="45">
        <v>45805</v>
      </c>
      <c r="B676" s="44">
        <v>1</v>
      </c>
    </row>
    <row r="677" spans="1:2" x14ac:dyDescent="0.25">
      <c r="A677" s="45">
        <v>45806</v>
      </c>
      <c r="B677" s="44">
        <v>1</v>
      </c>
    </row>
    <row r="678" spans="1:2" x14ac:dyDescent="0.25">
      <c r="A678" s="45">
        <v>45807</v>
      </c>
      <c r="B678" s="44">
        <v>1</v>
      </c>
    </row>
    <row r="679" spans="1:2" x14ac:dyDescent="0.25">
      <c r="A679" s="45">
        <v>45808</v>
      </c>
      <c r="B679" s="44">
        <v>1</v>
      </c>
    </row>
    <row r="680" spans="1:2" x14ac:dyDescent="0.25">
      <c r="A680" s="45">
        <v>45809</v>
      </c>
      <c r="B680" s="44">
        <v>1</v>
      </c>
    </row>
    <row r="681" spans="1:2" x14ac:dyDescent="0.25">
      <c r="A681" s="45">
        <v>45810</v>
      </c>
      <c r="B681" s="44">
        <v>1</v>
      </c>
    </row>
    <row r="682" spans="1:2" x14ac:dyDescent="0.25">
      <c r="A682" s="45">
        <v>45811</v>
      </c>
      <c r="B682" s="44">
        <v>1</v>
      </c>
    </row>
    <row r="683" spans="1:2" x14ac:dyDescent="0.25">
      <c r="A683" s="45">
        <v>45812</v>
      </c>
      <c r="B683" s="44">
        <v>1</v>
      </c>
    </row>
    <row r="684" spans="1:2" x14ac:dyDescent="0.25">
      <c r="A684" s="45">
        <v>45813</v>
      </c>
      <c r="B684" s="44">
        <v>1</v>
      </c>
    </row>
    <row r="685" spans="1:2" x14ac:dyDescent="0.25">
      <c r="A685" s="45">
        <v>45814</v>
      </c>
      <c r="B685" s="44">
        <v>1</v>
      </c>
    </row>
    <row r="686" spans="1:2" x14ac:dyDescent="0.25">
      <c r="A686" s="45">
        <v>45815</v>
      </c>
      <c r="B686" s="44">
        <v>1</v>
      </c>
    </row>
    <row r="687" spans="1:2" x14ac:dyDescent="0.25">
      <c r="A687" s="45">
        <v>45816</v>
      </c>
      <c r="B687" s="44">
        <v>1</v>
      </c>
    </row>
    <row r="688" spans="1:2" x14ac:dyDescent="0.25">
      <c r="A688" s="45">
        <v>45817</v>
      </c>
      <c r="B688" s="44">
        <v>1</v>
      </c>
    </row>
    <row r="689" spans="1:2" x14ac:dyDescent="0.25">
      <c r="A689" s="45">
        <v>45818</v>
      </c>
      <c r="B689" s="44">
        <v>1</v>
      </c>
    </row>
    <row r="690" spans="1:2" x14ac:dyDescent="0.25">
      <c r="A690" s="45">
        <v>45819</v>
      </c>
      <c r="B690" s="44">
        <v>1</v>
      </c>
    </row>
    <row r="691" spans="1:2" x14ac:dyDescent="0.25">
      <c r="A691" s="45">
        <v>45820</v>
      </c>
      <c r="B691" s="44">
        <v>1</v>
      </c>
    </row>
    <row r="692" spans="1:2" x14ac:dyDescent="0.25">
      <c r="A692" s="45">
        <v>45821</v>
      </c>
      <c r="B692" s="44">
        <v>1</v>
      </c>
    </row>
    <row r="693" spans="1:2" x14ac:dyDescent="0.25">
      <c r="A693" s="45">
        <v>45822</v>
      </c>
      <c r="B693" s="44">
        <v>1</v>
      </c>
    </row>
    <row r="694" spans="1:2" x14ac:dyDescent="0.25">
      <c r="A694" s="45">
        <v>45823</v>
      </c>
      <c r="B694" s="44">
        <v>1</v>
      </c>
    </row>
    <row r="695" spans="1:2" x14ac:dyDescent="0.25">
      <c r="A695" s="45">
        <v>45824</v>
      </c>
      <c r="B695" s="44">
        <v>1</v>
      </c>
    </row>
    <row r="696" spans="1:2" x14ac:dyDescent="0.25">
      <c r="A696" s="45">
        <v>45825</v>
      </c>
      <c r="B696" s="44">
        <v>1</v>
      </c>
    </row>
  </sheetData>
  <sortState ref="A2:B696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1 B696:B1048576">
      <formula1>0</formula1>
    </dataValidation>
    <dataValidation type="decimal" operator="greaterThan" showErrorMessage="1" errorTitle="Measurement Value" error="Only enter values larger than 0. If measurement value equals 0, substitute with 0.333333333." sqref="B2:B87 B135:B147 B89:B108 B122:B132 B155:B695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22"/>
  <sheetViews>
    <sheetView workbookViewId="0">
      <pane ySplit="1" topLeftCell="A205" activePane="bottomLeft" state="frozen"/>
      <selection pane="bottomLeft" activeCell="B221" sqref="B221"/>
    </sheetView>
  </sheetViews>
  <sheetFormatPr defaultRowHeight="15" x14ac:dyDescent="0.25"/>
  <cols>
    <col min="1" max="1" width="32.28515625" style="50" bestFit="1" customWidth="1"/>
    <col min="2" max="2" width="14.7109375" style="44" bestFit="1" customWidth="1"/>
  </cols>
  <sheetData>
    <row r="1" spans="1:2" s="1" customFormat="1" x14ac:dyDescent="0.25">
      <c r="A1" s="47" t="s">
        <v>0</v>
      </c>
      <c r="B1" s="48" t="s">
        <v>2</v>
      </c>
    </row>
    <row r="2" spans="1:2" s="1" customFormat="1" x14ac:dyDescent="0.25">
      <c r="A2" s="42">
        <v>41647.40625</v>
      </c>
      <c r="B2" s="41">
        <v>53</v>
      </c>
    </row>
    <row r="3" spans="1:2" s="1" customFormat="1" x14ac:dyDescent="0.25">
      <c r="A3" s="42">
        <v>41661.402083333334</v>
      </c>
      <c r="B3" s="41">
        <v>0.33333333300000001</v>
      </c>
    </row>
    <row r="4" spans="1:2" s="1" customFormat="1" x14ac:dyDescent="0.25">
      <c r="A4" s="42">
        <v>41675.443055555559</v>
      </c>
      <c r="B4" s="41">
        <v>2</v>
      </c>
    </row>
    <row r="5" spans="1:2" s="1" customFormat="1" x14ac:dyDescent="0.25">
      <c r="A5" s="42">
        <v>41689.474305555559</v>
      </c>
      <c r="B5" s="41">
        <v>0.33333333300000001</v>
      </c>
    </row>
    <row r="6" spans="1:2" s="1" customFormat="1" x14ac:dyDescent="0.25">
      <c r="A6" s="42">
        <v>41703.393750000003</v>
      </c>
      <c r="B6" s="41">
        <v>0.33333333300000001</v>
      </c>
    </row>
    <row r="7" spans="1:2" s="1" customFormat="1" x14ac:dyDescent="0.25">
      <c r="A7" s="42">
        <v>41717</v>
      </c>
      <c r="B7" s="41">
        <v>1</v>
      </c>
    </row>
    <row r="8" spans="1:2" s="1" customFormat="1" x14ac:dyDescent="0.25">
      <c r="A8" s="42">
        <v>41731.487500000003</v>
      </c>
      <c r="B8" s="41">
        <v>150</v>
      </c>
    </row>
    <row r="9" spans="1:2" s="1" customFormat="1" x14ac:dyDescent="0.25">
      <c r="A9" s="42">
        <v>41745.384722222225</v>
      </c>
      <c r="B9" s="41">
        <v>14</v>
      </c>
    </row>
    <row r="10" spans="1:2" s="1" customFormat="1" x14ac:dyDescent="0.25">
      <c r="A10" s="42">
        <v>41759.390277777777</v>
      </c>
      <c r="B10" s="41">
        <v>12</v>
      </c>
    </row>
    <row r="11" spans="1:2" s="1" customFormat="1" x14ac:dyDescent="0.25">
      <c r="A11" s="42">
        <v>41773</v>
      </c>
      <c r="B11" s="41">
        <v>10</v>
      </c>
    </row>
    <row r="12" spans="1:2" s="1" customFormat="1" x14ac:dyDescent="0.25">
      <c r="A12" s="42">
        <v>41787.409722222219</v>
      </c>
      <c r="B12" s="41">
        <v>150</v>
      </c>
    </row>
    <row r="13" spans="1:2" s="1" customFormat="1" x14ac:dyDescent="0.25">
      <c r="A13" s="42">
        <v>41801.456944444442</v>
      </c>
      <c r="B13" s="41">
        <v>1</v>
      </c>
    </row>
    <row r="14" spans="1:2" s="1" customFormat="1" x14ac:dyDescent="0.25">
      <c r="A14" s="42">
        <v>41815.425000000003</v>
      </c>
      <c r="B14" s="41">
        <v>35</v>
      </c>
    </row>
    <row r="15" spans="1:2" s="1" customFormat="1" x14ac:dyDescent="0.25">
      <c r="A15" s="42">
        <v>41829.447916666664</v>
      </c>
      <c r="B15" s="41">
        <v>3</v>
      </c>
    </row>
    <row r="16" spans="1:2" s="1" customFormat="1" x14ac:dyDescent="0.25">
      <c r="A16" s="42">
        <v>41843.431944444441</v>
      </c>
      <c r="B16" s="41">
        <v>2</v>
      </c>
    </row>
    <row r="17" spans="1:2" s="1" customFormat="1" x14ac:dyDescent="0.25">
      <c r="A17" s="42">
        <v>41857.372916666667</v>
      </c>
      <c r="B17" s="41">
        <v>100</v>
      </c>
    </row>
    <row r="18" spans="1:2" s="1" customFormat="1" x14ac:dyDescent="0.25">
      <c r="A18" s="42">
        <v>41871.438194444447</v>
      </c>
      <c r="B18" s="41">
        <v>1350</v>
      </c>
    </row>
    <row r="19" spans="1:2" s="1" customFormat="1" x14ac:dyDescent="0.25">
      <c r="A19" s="42">
        <v>41885.380555555559</v>
      </c>
      <c r="B19" s="41">
        <v>15</v>
      </c>
    </row>
    <row r="20" spans="1:2" s="1" customFormat="1" x14ac:dyDescent="0.25">
      <c r="A20" s="42">
        <v>41899</v>
      </c>
      <c r="B20" s="41">
        <v>2</v>
      </c>
    </row>
    <row r="21" spans="1:2" s="1" customFormat="1" x14ac:dyDescent="0.25">
      <c r="A21" s="42">
        <v>41913.409722222219</v>
      </c>
      <c r="B21" s="41">
        <v>0.33333333300000001</v>
      </c>
    </row>
    <row r="22" spans="1:2" s="1" customFormat="1" x14ac:dyDescent="0.25">
      <c r="A22" s="42">
        <v>41927.411805555559</v>
      </c>
      <c r="B22" s="41">
        <v>0.33333333300000001</v>
      </c>
    </row>
    <row r="23" spans="1:2" s="1" customFormat="1" x14ac:dyDescent="0.25">
      <c r="A23" s="42">
        <v>41941.37777777778</v>
      </c>
      <c r="B23" s="41">
        <v>2</v>
      </c>
    </row>
    <row r="24" spans="1:2" s="1" customFormat="1" x14ac:dyDescent="0.25">
      <c r="A24" s="42">
        <v>41955.472222222219</v>
      </c>
      <c r="B24" s="41">
        <v>1</v>
      </c>
    </row>
    <row r="25" spans="1:2" s="1" customFormat="1" x14ac:dyDescent="0.25">
      <c r="A25" s="42">
        <v>41969.44027777778</v>
      </c>
      <c r="B25" s="41">
        <v>0.33333333300000001</v>
      </c>
    </row>
    <row r="26" spans="1:2" x14ac:dyDescent="0.25">
      <c r="A26" s="42">
        <v>41983.45416666667</v>
      </c>
      <c r="B26" s="41">
        <v>14</v>
      </c>
    </row>
    <row r="27" spans="1:2" x14ac:dyDescent="0.25">
      <c r="A27" s="42">
        <v>42011.387499999997</v>
      </c>
      <c r="B27" s="41">
        <v>4</v>
      </c>
    </row>
    <row r="28" spans="1:2" x14ac:dyDescent="0.25">
      <c r="A28" s="42">
        <v>42025.445833333331</v>
      </c>
      <c r="B28" s="41">
        <v>0.33333333300000001</v>
      </c>
    </row>
    <row r="29" spans="1:2" x14ac:dyDescent="0.25">
      <c r="A29" s="42">
        <v>42081.388194444444</v>
      </c>
      <c r="B29" s="41">
        <v>3</v>
      </c>
    </row>
    <row r="30" spans="1:2" x14ac:dyDescent="0.25">
      <c r="A30" s="42">
        <v>42094</v>
      </c>
      <c r="B30" s="41">
        <v>11</v>
      </c>
    </row>
    <row r="31" spans="1:2" x14ac:dyDescent="0.25">
      <c r="A31" s="42">
        <v>42109</v>
      </c>
      <c r="B31" s="41">
        <v>34</v>
      </c>
    </row>
    <row r="32" spans="1:2" x14ac:dyDescent="0.25">
      <c r="A32" s="42">
        <v>42123</v>
      </c>
      <c r="B32" s="41">
        <v>19</v>
      </c>
    </row>
    <row r="33" spans="1:2" x14ac:dyDescent="0.25">
      <c r="A33" s="42">
        <v>42137</v>
      </c>
      <c r="B33" s="41">
        <v>34</v>
      </c>
    </row>
    <row r="34" spans="1:2" x14ac:dyDescent="0.25">
      <c r="A34" s="42">
        <v>42151</v>
      </c>
      <c r="B34" s="41">
        <v>14</v>
      </c>
    </row>
    <row r="35" spans="1:2" x14ac:dyDescent="0.25">
      <c r="A35" s="42">
        <v>42165</v>
      </c>
      <c r="B35" s="41">
        <v>52</v>
      </c>
    </row>
    <row r="36" spans="1:2" x14ac:dyDescent="0.25">
      <c r="A36" s="42">
        <v>42179</v>
      </c>
      <c r="B36" s="41">
        <v>700</v>
      </c>
    </row>
    <row r="37" spans="1:2" x14ac:dyDescent="0.25">
      <c r="A37" s="42">
        <v>42193</v>
      </c>
      <c r="B37" s="41">
        <v>20</v>
      </c>
    </row>
    <row r="38" spans="1:2" x14ac:dyDescent="0.25">
      <c r="A38" s="42">
        <v>42207</v>
      </c>
      <c r="B38" s="41">
        <v>18</v>
      </c>
    </row>
    <row r="39" spans="1:2" x14ac:dyDescent="0.25">
      <c r="A39" s="42">
        <v>42221</v>
      </c>
      <c r="B39" s="41">
        <v>29</v>
      </c>
    </row>
    <row r="40" spans="1:2" x14ac:dyDescent="0.25">
      <c r="A40" s="42">
        <v>42235</v>
      </c>
      <c r="B40" s="41">
        <v>4</v>
      </c>
    </row>
    <row r="41" spans="1:2" x14ac:dyDescent="0.25">
      <c r="A41" s="42">
        <v>42249</v>
      </c>
      <c r="B41" s="41">
        <v>5</v>
      </c>
    </row>
    <row r="42" spans="1:2" x14ac:dyDescent="0.25">
      <c r="A42" s="42">
        <v>42263</v>
      </c>
      <c r="B42" s="41">
        <v>1</v>
      </c>
    </row>
    <row r="43" spans="1:2" x14ac:dyDescent="0.25">
      <c r="A43" s="42">
        <v>42277</v>
      </c>
      <c r="B43" s="41">
        <v>1350</v>
      </c>
    </row>
    <row r="44" spans="1:2" x14ac:dyDescent="0.25">
      <c r="A44" s="42">
        <v>42360</v>
      </c>
      <c r="B44" s="41">
        <v>2</v>
      </c>
    </row>
    <row r="45" spans="1:2" x14ac:dyDescent="0.25">
      <c r="A45" s="42">
        <v>42376</v>
      </c>
      <c r="B45" s="41">
        <v>13</v>
      </c>
    </row>
    <row r="46" spans="1:2" x14ac:dyDescent="0.25">
      <c r="A46" s="42">
        <v>42389</v>
      </c>
      <c r="B46" s="41">
        <v>8</v>
      </c>
    </row>
    <row r="47" spans="1:2" x14ac:dyDescent="0.25">
      <c r="A47" s="42">
        <v>42403</v>
      </c>
      <c r="B47" s="41">
        <v>20</v>
      </c>
    </row>
    <row r="48" spans="1:2" x14ac:dyDescent="0.25">
      <c r="A48" s="42">
        <v>42417</v>
      </c>
      <c r="B48" s="41">
        <v>106</v>
      </c>
    </row>
    <row r="49" spans="1:2" x14ac:dyDescent="0.25">
      <c r="A49" s="42">
        <v>42431</v>
      </c>
      <c r="B49" s="41">
        <v>0.33333333300000001</v>
      </c>
    </row>
    <row r="50" spans="1:2" x14ac:dyDescent="0.25">
      <c r="A50" s="42">
        <v>42445</v>
      </c>
      <c r="B50" s="41">
        <v>4</v>
      </c>
    </row>
    <row r="51" spans="1:2" x14ac:dyDescent="0.25">
      <c r="A51" s="42">
        <v>42459</v>
      </c>
      <c r="B51" s="41">
        <v>3800</v>
      </c>
    </row>
    <row r="52" spans="1:2" x14ac:dyDescent="0.25">
      <c r="A52" s="42">
        <v>42473</v>
      </c>
      <c r="B52" s="41">
        <v>44</v>
      </c>
    </row>
    <row r="53" spans="1:2" x14ac:dyDescent="0.25">
      <c r="A53" s="42">
        <v>42486</v>
      </c>
      <c r="B53" s="41">
        <v>61</v>
      </c>
    </row>
    <row r="54" spans="1:2" x14ac:dyDescent="0.25">
      <c r="A54" s="42">
        <v>42501</v>
      </c>
      <c r="B54" s="41">
        <v>600</v>
      </c>
    </row>
    <row r="55" spans="1:2" x14ac:dyDescent="0.25">
      <c r="A55" s="42">
        <v>42515</v>
      </c>
      <c r="B55" s="41">
        <v>800</v>
      </c>
    </row>
    <row r="56" spans="1:2" x14ac:dyDescent="0.25">
      <c r="A56" s="42">
        <v>42529</v>
      </c>
      <c r="B56" s="41">
        <v>2</v>
      </c>
    </row>
    <row r="57" spans="1:2" x14ac:dyDescent="0.25">
      <c r="A57" s="42">
        <v>42543</v>
      </c>
      <c r="B57" s="41">
        <v>15</v>
      </c>
    </row>
    <row r="58" spans="1:2" x14ac:dyDescent="0.25">
      <c r="A58" s="42">
        <v>42557</v>
      </c>
      <c r="B58" s="41">
        <v>7</v>
      </c>
    </row>
    <row r="59" spans="1:2" x14ac:dyDescent="0.25">
      <c r="A59" s="42">
        <v>42571</v>
      </c>
      <c r="B59" s="41">
        <v>16</v>
      </c>
    </row>
    <row r="60" spans="1:2" x14ac:dyDescent="0.25">
      <c r="A60" s="42">
        <v>42599</v>
      </c>
      <c r="B60" s="41">
        <v>2</v>
      </c>
    </row>
    <row r="61" spans="1:2" x14ac:dyDescent="0.25">
      <c r="A61" s="42">
        <v>42613</v>
      </c>
      <c r="B61" s="41">
        <v>2</v>
      </c>
    </row>
    <row r="62" spans="1:2" x14ac:dyDescent="0.25">
      <c r="A62" s="42">
        <v>42627</v>
      </c>
      <c r="B62" s="41">
        <v>2</v>
      </c>
    </row>
    <row r="63" spans="1:2" x14ac:dyDescent="0.25">
      <c r="A63" s="42">
        <v>42641</v>
      </c>
      <c r="B63" s="41">
        <v>16</v>
      </c>
    </row>
    <row r="64" spans="1:2" x14ac:dyDescent="0.25">
      <c r="A64" s="42">
        <v>42655</v>
      </c>
      <c r="B64" s="41">
        <v>1</v>
      </c>
    </row>
    <row r="65" spans="1:2" x14ac:dyDescent="0.25">
      <c r="A65" s="42">
        <v>42669</v>
      </c>
      <c r="B65" s="41">
        <v>1</v>
      </c>
    </row>
    <row r="66" spans="1:2" x14ac:dyDescent="0.25">
      <c r="A66" s="42">
        <v>42683</v>
      </c>
      <c r="B66" s="41">
        <v>0.33333333300000001</v>
      </c>
    </row>
    <row r="67" spans="1:2" x14ac:dyDescent="0.25">
      <c r="A67" s="42">
        <v>42697</v>
      </c>
      <c r="B67" s="41">
        <v>4</v>
      </c>
    </row>
    <row r="68" spans="1:2" x14ac:dyDescent="0.25">
      <c r="A68" s="42">
        <v>42711</v>
      </c>
      <c r="B68" s="41">
        <v>0.33333333300000001</v>
      </c>
    </row>
    <row r="69" spans="1:2" x14ac:dyDescent="0.25">
      <c r="A69" s="42">
        <v>42725</v>
      </c>
      <c r="B69" s="41">
        <v>9</v>
      </c>
    </row>
    <row r="70" spans="1:2" x14ac:dyDescent="0.25">
      <c r="A70" s="42">
        <v>42740</v>
      </c>
      <c r="B70" s="41">
        <v>47</v>
      </c>
    </row>
    <row r="71" spans="1:2" x14ac:dyDescent="0.25">
      <c r="A71" s="42">
        <v>42753</v>
      </c>
      <c r="B71" s="41">
        <v>0.33333333300000001</v>
      </c>
    </row>
    <row r="72" spans="1:2" x14ac:dyDescent="0.25">
      <c r="A72" s="42">
        <v>42767</v>
      </c>
      <c r="B72" s="41">
        <v>9</v>
      </c>
    </row>
    <row r="73" spans="1:2" x14ac:dyDescent="0.25">
      <c r="A73" s="42">
        <v>42781</v>
      </c>
      <c r="B73" s="41">
        <v>57</v>
      </c>
    </row>
    <row r="74" spans="1:2" x14ac:dyDescent="0.25">
      <c r="A74" s="42">
        <v>42795</v>
      </c>
      <c r="B74" s="41">
        <v>12</v>
      </c>
    </row>
    <row r="75" spans="1:2" x14ac:dyDescent="0.25">
      <c r="A75" s="42">
        <v>42809</v>
      </c>
      <c r="B75" s="41">
        <v>11</v>
      </c>
    </row>
    <row r="76" spans="1:2" x14ac:dyDescent="0.25">
      <c r="A76" s="42">
        <v>42823</v>
      </c>
      <c r="B76" s="41">
        <v>1</v>
      </c>
    </row>
    <row r="77" spans="1:2" x14ac:dyDescent="0.25">
      <c r="A77" s="42">
        <v>42836</v>
      </c>
      <c r="B77" s="41">
        <v>12</v>
      </c>
    </row>
    <row r="78" spans="1:2" x14ac:dyDescent="0.25">
      <c r="A78" s="42">
        <v>42851</v>
      </c>
      <c r="B78" s="41">
        <v>19</v>
      </c>
    </row>
    <row r="79" spans="1:2" x14ac:dyDescent="0.25">
      <c r="A79" s="42">
        <v>42879</v>
      </c>
      <c r="B79" s="41">
        <v>11</v>
      </c>
    </row>
    <row r="80" spans="1:2" x14ac:dyDescent="0.25">
      <c r="A80" s="42">
        <v>42893</v>
      </c>
      <c r="B80" s="41">
        <v>900</v>
      </c>
    </row>
    <row r="81" spans="1:2" x14ac:dyDescent="0.25">
      <c r="A81" s="42">
        <v>42907</v>
      </c>
      <c r="B81" s="41">
        <v>22</v>
      </c>
    </row>
    <row r="82" spans="1:2" x14ac:dyDescent="0.25">
      <c r="A82" s="42">
        <v>42921</v>
      </c>
      <c r="B82" s="41">
        <v>1</v>
      </c>
    </row>
    <row r="83" spans="1:2" x14ac:dyDescent="0.25">
      <c r="A83" s="42">
        <v>42935</v>
      </c>
      <c r="B83" s="41">
        <v>2</v>
      </c>
    </row>
    <row r="84" spans="1:2" x14ac:dyDescent="0.25">
      <c r="A84" s="42">
        <v>42949</v>
      </c>
      <c r="B84" s="41">
        <v>18</v>
      </c>
    </row>
    <row r="85" spans="1:2" x14ac:dyDescent="0.25">
      <c r="A85" s="42">
        <v>42963</v>
      </c>
      <c r="B85" s="41">
        <v>19</v>
      </c>
    </row>
    <row r="86" spans="1:2" x14ac:dyDescent="0.25">
      <c r="A86" s="42">
        <v>42977</v>
      </c>
      <c r="B86" s="41">
        <v>1400</v>
      </c>
    </row>
    <row r="87" spans="1:2" x14ac:dyDescent="0.25">
      <c r="A87" s="42">
        <v>42991</v>
      </c>
      <c r="B87" s="41">
        <v>2</v>
      </c>
    </row>
    <row r="88" spans="1:2" x14ac:dyDescent="0.25">
      <c r="A88" s="42">
        <v>43005</v>
      </c>
      <c r="B88" s="41">
        <v>1</v>
      </c>
    </row>
    <row r="89" spans="1:2" x14ac:dyDescent="0.25">
      <c r="A89" s="42">
        <v>43019</v>
      </c>
      <c r="B89" s="41">
        <v>12</v>
      </c>
    </row>
    <row r="90" spans="1:2" x14ac:dyDescent="0.25">
      <c r="A90" s="42">
        <v>43033</v>
      </c>
      <c r="B90" s="41">
        <v>1</v>
      </c>
    </row>
    <row r="91" spans="1:2" x14ac:dyDescent="0.25">
      <c r="A91" s="42">
        <v>43047</v>
      </c>
      <c r="B91" s="41">
        <v>10</v>
      </c>
    </row>
    <row r="92" spans="1:2" x14ac:dyDescent="0.25">
      <c r="A92" s="42">
        <v>43061</v>
      </c>
      <c r="B92" s="41">
        <v>61</v>
      </c>
    </row>
    <row r="93" spans="1:2" x14ac:dyDescent="0.25">
      <c r="A93" s="42">
        <v>43075</v>
      </c>
      <c r="B93" s="41">
        <v>1</v>
      </c>
    </row>
    <row r="94" spans="1:2" x14ac:dyDescent="0.25">
      <c r="A94" s="42">
        <v>43089</v>
      </c>
      <c r="B94" s="41">
        <v>2</v>
      </c>
    </row>
    <row r="95" spans="1:2" x14ac:dyDescent="0.25">
      <c r="A95" s="42">
        <v>43103</v>
      </c>
      <c r="B95" s="41">
        <v>34</v>
      </c>
    </row>
    <row r="96" spans="1:2" x14ac:dyDescent="0.25">
      <c r="A96" s="42">
        <v>43117</v>
      </c>
      <c r="B96" s="41">
        <v>3</v>
      </c>
    </row>
    <row r="97" spans="1:2" x14ac:dyDescent="0.25">
      <c r="A97" s="42">
        <v>43131</v>
      </c>
      <c r="B97" s="41">
        <v>3</v>
      </c>
    </row>
    <row r="98" spans="1:2" x14ac:dyDescent="0.25">
      <c r="A98" s="42">
        <v>43145</v>
      </c>
      <c r="B98" s="41">
        <v>42</v>
      </c>
    </row>
    <row r="99" spans="1:2" x14ac:dyDescent="0.25">
      <c r="A99" s="42">
        <v>43159</v>
      </c>
      <c r="B99" s="41">
        <v>2</v>
      </c>
    </row>
    <row r="100" spans="1:2" x14ac:dyDescent="0.25">
      <c r="A100" s="42">
        <v>43173</v>
      </c>
      <c r="B100" s="41">
        <v>3</v>
      </c>
    </row>
    <row r="101" spans="1:2" x14ac:dyDescent="0.25">
      <c r="A101" s="42">
        <v>43186</v>
      </c>
      <c r="B101" s="41">
        <v>2</v>
      </c>
    </row>
    <row r="102" spans="1:2" x14ac:dyDescent="0.25">
      <c r="A102" s="42">
        <v>43201</v>
      </c>
      <c r="B102" s="41">
        <v>0.33333333300000001</v>
      </c>
    </row>
    <row r="103" spans="1:2" x14ac:dyDescent="0.25">
      <c r="A103" s="42">
        <v>43215</v>
      </c>
      <c r="B103" s="41">
        <v>16</v>
      </c>
    </row>
    <row r="104" spans="1:2" x14ac:dyDescent="0.25">
      <c r="A104" s="42">
        <v>43229</v>
      </c>
      <c r="B104" s="41">
        <v>37</v>
      </c>
    </row>
    <row r="105" spans="1:2" x14ac:dyDescent="0.25">
      <c r="A105" s="42">
        <v>43243</v>
      </c>
      <c r="B105" s="41">
        <v>31</v>
      </c>
    </row>
    <row r="106" spans="1:2" x14ac:dyDescent="0.25">
      <c r="A106" s="42">
        <v>43257</v>
      </c>
      <c r="B106" s="41">
        <v>8</v>
      </c>
    </row>
    <row r="107" spans="1:2" x14ac:dyDescent="0.25">
      <c r="A107" s="42">
        <v>43271</v>
      </c>
      <c r="B107" s="41">
        <v>4</v>
      </c>
    </row>
    <row r="108" spans="1:2" x14ac:dyDescent="0.25">
      <c r="A108" s="42">
        <v>43285</v>
      </c>
      <c r="B108" s="41">
        <v>2</v>
      </c>
    </row>
    <row r="109" spans="1:2" x14ac:dyDescent="0.25">
      <c r="A109" s="42">
        <v>43299</v>
      </c>
      <c r="B109" s="41">
        <v>1</v>
      </c>
    </row>
    <row r="110" spans="1:2" x14ac:dyDescent="0.25">
      <c r="A110" s="42">
        <v>43313</v>
      </c>
      <c r="B110" s="41">
        <v>40</v>
      </c>
    </row>
    <row r="111" spans="1:2" x14ac:dyDescent="0.25">
      <c r="A111" s="42">
        <v>43327</v>
      </c>
      <c r="B111" s="41">
        <v>31</v>
      </c>
    </row>
    <row r="112" spans="1:2" x14ac:dyDescent="0.25">
      <c r="A112" s="42">
        <v>43341</v>
      </c>
      <c r="B112" s="41">
        <v>2</v>
      </c>
    </row>
    <row r="113" spans="1:2" x14ac:dyDescent="0.25">
      <c r="A113" s="42">
        <v>43355</v>
      </c>
      <c r="B113" s="41">
        <v>7</v>
      </c>
    </row>
    <row r="114" spans="1:2" x14ac:dyDescent="0.25">
      <c r="A114" s="42">
        <v>43369</v>
      </c>
      <c r="B114" s="41">
        <v>6</v>
      </c>
    </row>
    <row r="115" spans="1:2" x14ac:dyDescent="0.25">
      <c r="A115" s="42">
        <v>43383</v>
      </c>
      <c r="B115" s="41">
        <v>200</v>
      </c>
    </row>
    <row r="116" spans="1:2" x14ac:dyDescent="0.25">
      <c r="A116" s="42">
        <v>43397.473611111112</v>
      </c>
      <c r="B116" s="41">
        <v>2</v>
      </c>
    </row>
    <row r="117" spans="1:2" x14ac:dyDescent="0.25">
      <c r="A117" s="42">
        <v>43411.37222222222</v>
      </c>
      <c r="B117" s="41">
        <v>1</v>
      </c>
    </row>
    <row r="118" spans="1:2" x14ac:dyDescent="0.25">
      <c r="A118" s="42">
        <v>43425.366666666669</v>
      </c>
      <c r="B118" s="41">
        <v>3</v>
      </c>
    </row>
    <row r="119" spans="1:2" x14ac:dyDescent="0.25">
      <c r="A119" s="42">
        <v>43439</v>
      </c>
      <c r="B119" s="41">
        <v>4</v>
      </c>
    </row>
    <row r="120" spans="1:2" x14ac:dyDescent="0.25">
      <c r="A120" s="42">
        <v>43453.419444444444</v>
      </c>
      <c r="B120" s="41">
        <v>1</v>
      </c>
    </row>
    <row r="121" spans="1:2" x14ac:dyDescent="0.25">
      <c r="A121" s="42">
        <v>43468.390972222223</v>
      </c>
      <c r="B121" s="41">
        <v>36</v>
      </c>
    </row>
    <row r="122" spans="1:2" x14ac:dyDescent="0.25">
      <c r="A122" s="42">
        <v>43481.359722222223</v>
      </c>
      <c r="B122" s="41">
        <v>22</v>
      </c>
    </row>
    <row r="123" spans="1:2" x14ac:dyDescent="0.25">
      <c r="A123" s="42">
        <v>43495</v>
      </c>
      <c r="B123" s="41">
        <v>2</v>
      </c>
    </row>
    <row r="124" spans="1:2" x14ac:dyDescent="0.25">
      <c r="A124" s="42">
        <v>43509.402083333334</v>
      </c>
      <c r="B124" s="41">
        <v>0.33333333300000001</v>
      </c>
    </row>
    <row r="125" spans="1:2" x14ac:dyDescent="0.25">
      <c r="A125" s="42">
        <v>43523.40347222222</v>
      </c>
      <c r="B125" s="41">
        <v>20</v>
      </c>
    </row>
    <row r="126" spans="1:2" x14ac:dyDescent="0.25">
      <c r="A126" s="42">
        <v>43537</v>
      </c>
      <c r="B126" s="41">
        <v>6</v>
      </c>
    </row>
    <row r="127" spans="1:2" x14ac:dyDescent="0.25">
      <c r="A127" s="42">
        <v>43551</v>
      </c>
      <c r="B127" s="41">
        <v>5</v>
      </c>
    </row>
    <row r="128" spans="1:2" x14ac:dyDescent="0.25">
      <c r="A128" s="42">
        <v>43565</v>
      </c>
      <c r="B128" s="41">
        <v>7</v>
      </c>
    </row>
    <row r="129" spans="1:2" x14ac:dyDescent="0.25">
      <c r="A129" s="42">
        <v>43579</v>
      </c>
      <c r="B129" s="41">
        <v>47</v>
      </c>
    </row>
    <row r="130" spans="1:2" x14ac:dyDescent="0.25">
      <c r="A130" s="42">
        <v>43592</v>
      </c>
      <c r="B130" s="44">
        <v>2</v>
      </c>
    </row>
    <row r="131" spans="1:2" x14ac:dyDescent="0.25">
      <c r="A131" s="42">
        <v>43607</v>
      </c>
      <c r="B131" s="44">
        <v>1</v>
      </c>
    </row>
    <row r="132" spans="1:2" x14ac:dyDescent="0.25">
      <c r="A132" s="42">
        <v>43621</v>
      </c>
      <c r="B132" s="44">
        <v>80</v>
      </c>
    </row>
    <row r="133" spans="1:2" x14ac:dyDescent="0.25">
      <c r="A133" s="42">
        <v>43635</v>
      </c>
      <c r="B133" s="44">
        <v>1</v>
      </c>
    </row>
    <row r="134" spans="1:2" x14ac:dyDescent="0.25">
      <c r="A134" s="42">
        <v>43649</v>
      </c>
      <c r="B134" s="44">
        <v>4</v>
      </c>
    </row>
    <row r="135" spans="1:2" x14ac:dyDescent="0.25">
      <c r="A135" s="42">
        <v>43663</v>
      </c>
      <c r="B135" s="44">
        <v>2</v>
      </c>
    </row>
    <row r="136" spans="1:2" x14ac:dyDescent="0.25">
      <c r="A136" s="42">
        <v>43677</v>
      </c>
      <c r="B136" s="44">
        <v>32</v>
      </c>
    </row>
    <row r="137" spans="1:2" x14ac:dyDescent="0.25">
      <c r="A137" s="42">
        <v>43691</v>
      </c>
      <c r="B137" s="44">
        <v>5</v>
      </c>
    </row>
    <row r="138" spans="1:2" x14ac:dyDescent="0.25">
      <c r="A138" s="42">
        <v>43705</v>
      </c>
      <c r="B138" s="44">
        <v>3</v>
      </c>
    </row>
    <row r="139" spans="1:2" x14ac:dyDescent="0.25">
      <c r="A139" s="42">
        <v>43747</v>
      </c>
      <c r="B139" s="44">
        <v>94</v>
      </c>
    </row>
    <row r="140" spans="1:2" x14ac:dyDescent="0.25">
      <c r="A140" s="42">
        <v>43761</v>
      </c>
      <c r="B140" s="41">
        <v>0.33333333300000001</v>
      </c>
    </row>
    <row r="141" spans="1:2" x14ac:dyDescent="0.25">
      <c r="A141" s="42">
        <v>43775</v>
      </c>
      <c r="B141" s="44">
        <v>7</v>
      </c>
    </row>
    <row r="142" spans="1:2" x14ac:dyDescent="0.25">
      <c r="A142" s="42">
        <v>43789</v>
      </c>
      <c r="B142" s="44">
        <v>7</v>
      </c>
    </row>
    <row r="143" spans="1:2" x14ac:dyDescent="0.25">
      <c r="A143" s="49">
        <v>43804</v>
      </c>
      <c r="B143" s="51">
        <v>24</v>
      </c>
    </row>
    <row r="144" spans="1:2" x14ac:dyDescent="0.25">
      <c r="A144" s="49">
        <v>43817</v>
      </c>
      <c r="B144" s="51">
        <v>300</v>
      </c>
    </row>
    <row r="145" spans="1:2" x14ac:dyDescent="0.25">
      <c r="A145" s="49">
        <v>43828</v>
      </c>
      <c r="B145" s="51">
        <v>3.3333000000000002E-2</v>
      </c>
    </row>
    <row r="146" spans="1:2" x14ac:dyDescent="0.25">
      <c r="A146" s="49">
        <v>43845</v>
      </c>
      <c r="B146" s="51">
        <v>4</v>
      </c>
    </row>
    <row r="147" spans="1:2" x14ac:dyDescent="0.25">
      <c r="A147" s="49">
        <v>43859</v>
      </c>
      <c r="B147" s="51">
        <v>1</v>
      </c>
    </row>
    <row r="148" spans="1:2" x14ac:dyDescent="0.25">
      <c r="A148" s="49">
        <v>43873</v>
      </c>
      <c r="B148" s="51">
        <v>6</v>
      </c>
    </row>
    <row r="149" spans="1:2" x14ac:dyDescent="0.25">
      <c r="A149" s="49">
        <v>43887</v>
      </c>
      <c r="B149" s="51">
        <v>51</v>
      </c>
    </row>
    <row r="150" spans="1:2" x14ac:dyDescent="0.25">
      <c r="A150" s="49">
        <v>43901</v>
      </c>
      <c r="B150" s="51">
        <v>1</v>
      </c>
    </row>
    <row r="151" spans="1:2" x14ac:dyDescent="0.25">
      <c r="A151" s="42">
        <v>43985</v>
      </c>
      <c r="B151" s="44">
        <v>150</v>
      </c>
    </row>
    <row r="152" spans="1:2" x14ac:dyDescent="0.25">
      <c r="A152" s="42">
        <v>43999</v>
      </c>
      <c r="B152" s="41">
        <v>13</v>
      </c>
    </row>
    <row r="153" spans="1:2" x14ac:dyDescent="0.25">
      <c r="A153" s="42">
        <v>44013</v>
      </c>
      <c r="B153" s="41">
        <v>75</v>
      </c>
    </row>
    <row r="154" spans="1:2" x14ac:dyDescent="0.25">
      <c r="A154" s="42">
        <v>44027</v>
      </c>
      <c r="B154" s="41">
        <v>13</v>
      </c>
    </row>
    <row r="155" spans="1:2" x14ac:dyDescent="0.25">
      <c r="A155" s="42">
        <v>44041</v>
      </c>
      <c r="B155" s="41">
        <v>3</v>
      </c>
    </row>
    <row r="156" spans="1:2" x14ac:dyDescent="0.25">
      <c r="A156" s="46">
        <v>44059</v>
      </c>
      <c r="B156" s="41">
        <v>19</v>
      </c>
    </row>
    <row r="157" spans="1:2" x14ac:dyDescent="0.25">
      <c r="A157" s="46">
        <v>44069</v>
      </c>
      <c r="B157" s="41">
        <v>39</v>
      </c>
    </row>
    <row r="158" spans="1:2" x14ac:dyDescent="0.25">
      <c r="A158" s="46">
        <v>44083</v>
      </c>
      <c r="B158" s="41">
        <v>0.12493873660829993</v>
      </c>
    </row>
    <row r="159" spans="1:2" x14ac:dyDescent="0.25">
      <c r="A159" s="45">
        <v>44097</v>
      </c>
      <c r="B159" s="41">
        <v>3</v>
      </c>
    </row>
    <row r="160" spans="1:2" x14ac:dyDescent="0.25">
      <c r="A160" s="45">
        <v>44111</v>
      </c>
      <c r="B160" s="41">
        <v>3</v>
      </c>
    </row>
    <row r="161" spans="1:2" x14ac:dyDescent="0.25">
      <c r="A161" s="42">
        <v>44125</v>
      </c>
      <c r="B161" s="41">
        <v>3</v>
      </c>
    </row>
    <row r="162" spans="1:2" x14ac:dyDescent="0.25">
      <c r="A162" s="42">
        <v>44139</v>
      </c>
      <c r="B162" s="41">
        <f>1/3</f>
        <v>0.33333333333333331</v>
      </c>
    </row>
    <row r="163" spans="1:2" x14ac:dyDescent="0.25">
      <c r="A163" s="42">
        <v>44178</v>
      </c>
      <c r="B163" s="41">
        <v>20</v>
      </c>
    </row>
    <row r="164" spans="1:2" x14ac:dyDescent="0.25">
      <c r="A164" s="42">
        <v>44195</v>
      </c>
      <c r="B164" s="41">
        <v>2</v>
      </c>
    </row>
    <row r="165" spans="1:2" x14ac:dyDescent="0.25">
      <c r="A165" s="42">
        <v>44209</v>
      </c>
      <c r="B165" s="41">
        <f>1/3</f>
        <v>0.33333333333333331</v>
      </c>
    </row>
    <row r="166" spans="1:2" x14ac:dyDescent="0.25">
      <c r="A166" s="42">
        <v>44223</v>
      </c>
      <c r="B166" s="41">
        <v>11</v>
      </c>
    </row>
    <row r="167" spans="1:2" x14ac:dyDescent="0.25">
      <c r="A167" s="42">
        <v>44237</v>
      </c>
      <c r="B167" s="41">
        <v>2</v>
      </c>
    </row>
    <row r="168" spans="1:2" x14ac:dyDescent="0.25">
      <c r="A168" s="42">
        <v>44265</v>
      </c>
      <c r="B168" s="41">
        <f>100*3</f>
        <v>300</v>
      </c>
    </row>
    <row r="169" spans="1:2" x14ac:dyDescent="0.25">
      <c r="A169" s="42">
        <v>44293</v>
      </c>
      <c r="B169" s="41">
        <v>9</v>
      </c>
    </row>
    <row r="170" spans="1:2" x14ac:dyDescent="0.25">
      <c r="A170" s="42">
        <v>44307</v>
      </c>
      <c r="B170" s="41">
        <v>8</v>
      </c>
    </row>
    <row r="171" spans="1:2" x14ac:dyDescent="0.25">
      <c r="A171" s="42">
        <v>44321</v>
      </c>
      <c r="B171" s="41">
        <v>10</v>
      </c>
    </row>
    <row r="172" spans="1:2" x14ac:dyDescent="0.25">
      <c r="A172" s="42">
        <v>44349</v>
      </c>
      <c r="B172" s="41">
        <v>10</v>
      </c>
    </row>
    <row r="173" spans="1:2" x14ac:dyDescent="0.25">
      <c r="A173" s="42">
        <v>44405</v>
      </c>
      <c r="B173" s="41">
        <v>13</v>
      </c>
    </row>
    <row r="174" spans="1:2" x14ac:dyDescent="0.25">
      <c r="A174" s="42">
        <v>44433</v>
      </c>
      <c r="B174" s="41">
        <v>1</v>
      </c>
    </row>
    <row r="175" spans="1:2" x14ac:dyDescent="0.25">
      <c r="A175" s="42">
        <v>44447</v>
      </c>
      <c r="B175" s="41">
        <v>10</v>
      </c>
    </row>
    <row r="176" spans="1:2" x14ac:dyDescent="0.25">
      <c r="A176" s="42">
        <v>44461</v>
      </c>
      <c r="B176" s="41">
        <v>2</v>
      </c>
    </row>
    <row r="177" spans="1:2" x14ac:dyDescent="0.25">
      <c r="A177" s="42">
        <v>44475</v>
      </c>
      <c r="B177" s="41">
        <v>3</v>
      </c>
    </row>
    <row r="178" spans="1:2" x14ac:dyDescent="0.25">
      <c r="A178" s="42">
        <v>44517</v>
      </c>
      <c r="B178" s="41">
        <v>10</v>
      </c>
    </row>
    <row r="179" spans="1:2" x14ac:dyDescent="0.25">
      <c r="A179" s="42">
        <v>44573</v>
      </c>
      <c r="B179" s="41">
        <f>10/3</f>
        <v>3.3333333333333335</v>
      </c>
    </row>
    <row r="180" spans="1:2" x14ac:dyDescent="0.25">
      <c r="A180" s="42">
        <v>44587</v>
      </c>
      <c r="B180" s="41">
        <f>10/3</f>
        <v>3.3333333333333335</v>
      </c>
    </row>
    <row r="181" spans="1:2" x14ac:dyDescent="0.25">
      <c r="A181" s="42">
        <v>44601</v>
      </c>
      <c r="B181" s="41">
        <v>30</v>
      </c>
    </row>
    <row r="182" spans="1:2" x14ac:dyDescent="0.25">
      <c r="A182" s="42">
        <v>44909</v>
      </c>
      <c r="B182" s="41">
        <v>14</v>
      </c>
    </row>
    <row r="183" spans="1:2" x14ac:dyDescent="0.25">
      <c r="A183" s="42">
        <v>44937</v>
      </c>
      <c r="B183" s="41">
        <v>58</v>
      </c>
    </row>
    <row r="184" spans="1:2" x14ac:dyDescent="0.25">
      <c r="A184" s="42">
        <v>44964</v>
      </c>
      <c r="B184" s="41">
        <v>30</v>
      </c>
    </row>
    <row r="185" spans="1:2" x14ac:dyDescent="0.25">
      <c r="A185" s="42">
        <v>44979</v>
      </c>
      <c r="B185" s="41">
        <v>23</v>
      </c>
    </row>
    <row r="186" spans="1:2" x14ac:dyDescent="0.25">
      <c r="A186" s="42">
        <v>45021</v>
      </c>
      <c r="B186" s="41">
        <v>31</v>
      </c>
    </row>
    <row r="187" spans="1:2" x14ac:dyDescent="0.25">
      <c r="A187" s="42">
        <v>45231</v>
      </c>
      <c r="B187" s="41">
        <v>300</v>
      </c>
    </row>
    <row r="188" spans="1:2" x14ac:dyDescent="0.25">
      <c r="A188" s="42">
        <v>45245</v>
      </c>
      <c r="B188" s="41">
        <f>1/3</f>
        <v>0.33333333333333331</v>
      </c>
    </row>
    <row r="189" spans="1:2" x14ac:dyDescent="0.25">
      <c r="A189" s="42">
        <v>45273</v>
      </c>
      <c r="B189" s="41">
        <f>1/3</f>
        <v>0.33333333333333331</v>
      </c>
    </row>
    <row r="190" spans="1:2" x14ac:dyDescent="0.25">
      <c r="A190" s="42">
        <v>45301</v>
      </c>
      <c r="B190" s="41">
        <f>1/3</f>
        <v>0.33333333333333331</v>
      </c>
    </row>
    <row r="191" spans="1:2" x14ac:dyDescent="0.25">
      <c r="A191" s="42">
        <v>45329</v>
      </c>
      <c r="B191" s="41">
        <v>30</v>
      </c>
    </row>
    <row r="192" spans="1:2" x14ac:dyDescent="0.25">
      <c r="A192" s="45">
        <v>45357</v>
      </c>
      <c r="B192" s="41">
        <f>1/3</f>
        <v>0.33333333333333331</v>
      </c>
    </row>
    <row r="193" spans="1:2" x14ac:dyDescent="0.25">
      <c r="A193" s="45">
        <v>45386</v>
      </c>
      <c r="B193" s="41">
        <f>1/3</f>
        <v>0.33333333333333331</v>
      </c>
    </row>
    <row r="194" spans="1:2" x14ac:dyDescent="0.25">
      <c r="A194" s="45">
        <v>45399</v>
      </c>
      <c r="B194" s="41">
        <v>1</v>
      </c>
    </row>
    <row r="195" spans="1:2" x14ac:dyDescent="0.25">
      <c r="A195" s="45">
        <v>45414</v>
      </c>
      <c r="B195" s="41">
        <f>1/3</f>
        <v>0.33333333333333331</v>
      </c>
    </row>
    <row r="196" spans="1:2" x14ac:dyDescent="0.25">
      <c r="A196" s="45">
        <v>45455</v>
      </c>
      <c r="B196" s="41">
        <v>90</v>
      </c>
    </row>
    <row r="197" spans="1:2" x14ac:dyDescent="0.25">
      <c r="A197" s="45">
        <v>45525</v>
      </c>
      <c r="B197" s="41">
        <v>10</v>
      </c>
    </row>
    <row r="198" spans="1:2" x14ac:dyDescent="0.25">
      <c r="A198" s="45">
        <v>45539</v>
      </c>
      <c r="B198" s="41">
        <f>10/3</f>
        <v>3.3333333333333335</v>
      </c>
    </row>
    <row r="199" spans="1:2" x14ac:dyDescent="0.25">
      <c r="A199" s="45">
        <v>45553</v>
      </c>
      <c r="B199" s="41">
        <f>10/3</f>
        <v>3.3333333333333335</v>
      </c>
    </row>
    <row r="200" spans="1:2" x14ac:dyDescent="0.25">
      <c r="A200" s="45">
        <v>45567</v>
      </c>
      <c r="B200" s="41">
        <f>10/3</f>
        <v>3.3333333333333335</v>
      </c>
    </row>
    <row r="201" spans="1:2" x14ac:dyDescent="0.25">
      <c r="A201" s="45">
        <v>45581</v>
      </c>
      <c r="B201" s="41">
        <f>10/3</f>
        <v>3.3333333333333335</v>
      </c>
    </row>
    <row r="202" spans="1:2" x14ac:dyDescent="0.25">
      <c r="A202" s="45">
        <v>45595</v>
      </c>
      <c r="B202" s="41">
        <f>10/3</f>
        <v>3.3333333333333335</v>
      </c>
    </row>
    <row r="203" spans="1:2" x14ac:dyDescent="0.25">
      <c r="A203" s="45">
        <v>45609</v>
      </c>
      <c r="B203" s="41">
        <f>10/3</f>
        <v>3.3333333333333335</v>
      </c>
    </row>
    <row r="204" spans="1:2" x14ac:dyDescent="0.25">
      <c r="A204" s="54">
        <v>45618</v>
      </c>
      <c r="B204" s="55">
        <v>12</v>
      </c>
    </row>
    <row r="205" spans="1:2" x14ac:dyDescent="0.25">
      <c r="A205" s="54">
        <v>45624</v>
      </c>
      <c r="B205" s="55">
        <v>36</v>
      </c>
    </row>
    <row r="206" spans="1:2" x14ac:dyDescent="0.25">
      <c r="A206" s="54">
        <v>45632</v>
      </c>
      <c r="B206" s="55">
        <v>29</v>
      </c>
    </row>
    <row r="207" spans="1:2" x14ac:dyDescent="0.25">
      <c r="A207" s="54">
        <v>45638</v>
      </c>
      <c r="B207" s="55">
        <v>17</v>
      </c>
    </row>
    <row r="208" spans="1:2" x14ac:dyDescent="0.25">
      <c r="A208" s="54">
        <v>45646</v>
      </c>
      <c r="B208" s="55">
        <v>3</v>
      </c>
    </row>
    <row r="209" spans="1:2" x14ac:dyDescent="0.25">
      <c r="A209" s="54">
        <v>45653</v>
      </c>
      <c r="B209" s="55">
        <v>31</v>
      </c>
    </row>
    <row r="210" spans="1:2" x14ac:dyDescent="0.25">
      <c r="A210" s="54">
        <v>45660</v>
      </c>
      <c r="B210" s="55">
        <v>81</v>
      </c>
    </row>
    <row r="211" spans="1:2" x14ac:dyDescent="0.25">
      <c r="A211" s="54">
        <v>45666</v>
      </c>
      <c r="B211" s="55">
        <v>24</v>
      </c>
    </row>
    <row r="212" spans="1:2" x14ac:dyDescent="0.25">
      <c r="A212" s="54">
        <v>45674</v>
      </c>
      <c r="B212" s="55">
        <v>13</v>
      </c>
    </row>
    <row r="213" spans="1:2" x14ac:dyDescent="0.25">
      <c r="A213" s="45">
        <v>45680</v>
      </c>
      <c r="B213" s="41">
        <v>15</v>
      </c>
    </row>
    <row r="214" spans="1:2" x14ac:dyDescent="0.25">
      <c r="A214" s="45">
        <v>45688</v>
      </c>
      <c r="B214" s="41">
        <v>139</v>
      </c>
    </row>
    <row r="215" spans="1:2" x14ac:dyDescent="0.25">
      <c r="A215" s="54">
        <v>45694</v>
      </c>
      <c r="B215" s="55">
        <v>11</v>
      </c>
    </row>
    <row r="216" spans="1:2" x14ac:dyDescent="0.25">
      <c r="A216" s="54">
        <v>45702</v>
      </c>
      <c r="B216" s="55">
        <v>3</v>
      </c>
    </row>
    <row r="217" spans="1:2" x14ac:dyDescent="0.25">
      <c r="A217" s="54">
        <v>45708</v>
      </c>
      <c r="B217" s="41">
        <v>2</v>
      </c>
    </row>
    <row r="218" spans="1:2" x14ac:dyDescent="0.25">
      <c r="A218" s="54">
        <v>45716</v>
      </c>
      <c r="B218" s="55">
        <v>6</v>
      </c>
    </row>
    <row r="219" spans="1:2" x14ac:dyDescent="0.25">
      <c r="A219" s="54">
        <v>45722</v>
      </c>
      <c r="B219" s="55">
        <v>2</v>
      </c>
    </row>
    <row r="220" spans="1:2" x14ac:dyDescent="0.25">
      <c r="A220" s="54">
        <v>45729</v>
      </c>
      <c r="B220" s="44">
        <v>3</v>
      </c>
    </row>
    <row r="221" spans="1:2" x14ac:dyDescent="0.25">
      <c r="A221" s="54"/>
    </row>
    <row r="222" spans="1:2" x14ac:dyDescent="0.25">
      <c r="A222" s="54"/>
    </row>
  </sheetData>
  <sortState ref="A2:B220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24:B125 B129 B1:B90 B117:B121 B137 B152 B141 B105:B115 B159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8FCCAFF-DC2F-4152-87A8-F407F38461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163257-A2D4-4A1F-AF0F-42718BEE918C}">
  <ds:schemaRefs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purl.org/dc/dcmitype/"/>
    <ds:schemaRef ds:uri="d602efd0-98a8-4264-882b-5af550c3ef7a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78EE912-7C18-4602-A4DC-6B32E58C1F2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2025-03-25T10:55:30Z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